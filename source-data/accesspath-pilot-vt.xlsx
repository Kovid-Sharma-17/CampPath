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Buildings" sheetId="2" state="visible" r:id="rId2"/>
    <sheet xmlns:r="http://schemas.openxmlformats.org/officeDocument/2006/relationships" name="Entrances" sheetId="3" state="visible" r:id="rId3"/>
    <sheet xmlns:r="http://schemas.openxmlformats.org/officeDocument/2006/relationships" name="Paths" sheetId="4" state="visible" r:id="rId4"/>
    <sheet xmlns:r="http://schemas.openxmlformats.org/officeDocument/2006/relationships" name="Elevators-Ramps-Stairs" sheetId="5" state="visible" r:id="rId5"/>
    <sheet xmlns:r="http://schemas.openxmlformats.org/officeDocument/2006/relationships" name="POIs" sheetId="6" state="visible" r:id="rId6"/>
    <sheet xmlns:r="http://schemas.openxmlformats.org/officeDocument/2006/relationships" name="Status Updates" sheetId="7" state="visible" r:id="rId7"/>
    <sheet xmlns:r="http://schemas.openxmlformats.org/officeDocument/2006/relationships" name="Sources" sheetId="8" state="visible" r:id="rId8"/>
    <sheet xmlns:r="http://schemas.openxmlformats.org/officeDocument/2006/relationships" name="Field Survey" sheetId="9" state="visible" r:id="rId9"/>
    <sheet xmlns:r="http://schemas.openxmlformats.org/officeDocument/2006/relationships" name="Floorplan Gaps" sheetId="10" state="visible" r:id="rId10"/>
  </sheets>
  <definedNames>
    <definedName name="_xlnm._FilterDatabase" localSheetId="1" hidden="1">'Buildings'!$A$1:$Q$17</definedName>
    <definedName name="_xlnm._FilterDatabase" localSheetId="2" hidden="1">'Entrances'!$A$1:$O$33</definedName>
    <definedName name="_xlnm._FilterDatabase" localSheetId="3" hidden="1">'Paths'!$A$1:$T$65</definedName>
    <definedName name="_xlnm._FilterDatabase" localSheetId="4" hidden="1">'Elevators-Ramps-Stairs'!$A$1:$M$20</definedName>
    <definedName name="_xlnm._FilterDatabase" localSheetId="5" hidden="1">'POIs'!$A$1:$J$9</definedName>
    <definedName name="_xlnm._FilterDatabase" localSheetId="6" hidden="1">'Status Updates'!$A$1:$H$7</definedName>
    <definedName name="_xlnm._FilterDatabase" localSheetId="7" hidden="1">'Sources'!$A$1:$H$11</definedName>
    <definedName name="_xlnm._FilterDatabase" localSheetId="9" hidden="1">'Floorplan Gaps'!$A$1:$H$190</definedName>
  </definedNames>
  <calcPr calcId="124519" fullCalcOnLoad="1"/>
</workbook>
</file>

<file path=xl/styles.xml><?xml version="1.0" encoding="utf-8"?>
<styleSheet xmlns="http://schemas.openxmlformats.org/spreadsheetml/2006/main">
  <numFmts count="2">
    <numFmt numFmtId="164" formatCode="0.00000"/>
    <numFmt numFmtId="165" formatCode="0.0"/>
  </numFmts>
  <fonts count="9">
    <font>
      <name val="Calibri"/>
      <family val="2"/>
      <color theme="1"/>
      <sz val="11"/>
      <scheme val="minor"/>
    </font>
    <font>
      <name val="Arial"/>
      <sz val="10"/>
    </font>
    <font>
      <name val="Arial"/>
      <b val="1"/>
      <sz val="14"/>
    </font>
    <font>
      <name val="Arial"/>
      <i val="1"/>
      <sz val="11"/>
    </font>
    <font>
      <name val="Arial"/>
      <b val="1"/>
      <color rgb="002C3E50"/>
      <sz val="11"/>
    </font>
    <font>
      <name val="Arial"/>
      <b val="1"/>
      <color rgb="00C00000"/>
      <sz val="10"/>
    </font>
    <font>
      <name val="Arial"/>
      <b val="1"/>
      <color rgb="00FFFFFF"/>
      <sz val="10"/>
    </font>
    <font>
      <name val="Arial"/>
      <b val="1"/>
      <color rgb="001E7B34"/>
      <sz val="10"/>
    </font>
    <font>
      <name val="Arial"/>
      <b val="1"/>
      <sz val="10"/>
    </font>
  </fonts>
  <fills count="7">
    <fill>
      <patternFill/>
    </fill>
    <fill>
      <patternFill patternType="gray125"/>
    </fill>
    <fill>
      <patternFill patternType="solid">
        <fgColor rgb="002C3E50"/>
      </patternFill>
    </fill>
    <fill>
      <patternFill patternType="solid">
        <fgColor rgb="00E3F0DC"/>
      </patternFill>
    </fill>
    <fill>
      <patternFill patternType="solid">
        <fgColor rgb="00FCE4E4"/>
      </patternFill>
    </fill>
    <fill>
      <patternFill patternType="solid">
        <fgColor rgb="00FFF2CC"/>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2" fillId="0" borderId="0"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1" applyAlignment="1" pivotButton="0" quotePrefix="0" xfId="0">
      <alignment vertical="center" wrapText="1"/>
    </xf>
    <xf numFmtId="0" fontId="1" fillId="3" borderId="1" applyAlignment="1" pivotButton="0" quotePrefix="0" xfId="0">
      <alignment vertical="top"/>
    </xf>
    <xf numFmtId="164" fontId="1" fillId="3" borderId="1" applyAlignment="1" pivotButton="0" quotePrefix="0" xfId="0">
      <alignment vertical="top"/>
    </xf>
    <xf numFmtId="0" fontId="5" fillId="3" borderId="1" applyAlignment="1" pivotButton="0" quotePrefix="0" xfId="0">
      <alignment vertical="top"/>
    </xf>
    <xf numFmtId="0" fontId="1" fillId="0" borderId="1" applyAlignment="1" pivotButton="0" quotePrefix="0" xfId="0">
      <alignment vertical="top"/>
    </xf>
    <xf numFmtId="164" fontId="1" fillId="0" borderId="1" applyAlignment="1" pivotButton="0" quotePrefix="0" xfId="0">
      <alignment vertical="top"/>
    </xf>
    <xf numFmtId="0" fontId="5" fillId="0" borderId="1" applyAlignment="1" pivotButton="0" quotePrefix="0" xfId="0">
      <alignment vertical="top"/>
    </xf>
    <xf numFmtId="165" fontId="1" fillId="0" borderId="1" applyAlignment="1" pivotButton="0" quotePrefix="0" xfId="0">
      <alignment vertical="top"/>
    </xf>
    <xf numFmtId="165" fontId="1" fillId="3" borderId="1" applyAlignment="1" pivotButton="0" quotePrefix="0" xfId="0">
      <alignment vertical="top"/>
    </xf>
    <xf numFmtId="0" fontId="1" fillId="4" borderId="1" applyAlignment="1" pivotButton="0" quotePrefix="0" xfId="0">
      <alignment vertical="top"/>
    </xf>
    <xf numFmtId="0" fontId="5" fillId="4" borderId="1" applyAlignment="1" pivotButton="0" quotePrefix="0" xfId="0">
      <alignment vertical="top"/>
    </xf>
    <xf numFmtId="0" fontId="1" fillId="5" borderId="1" applyAlignment="1" pivotButton="0" quotePrefix="0" xfId="0">
      <alignment vertical="top"/>
    </xf>
    <xf numFmtId="0" fontId="7" fillId="3" borderId="1" applyAlignment="1" pivotButton="0" quotePrefix="0" xfId="0">
      <alignment vertical="top"/>
    </xf>
    <xf numFmtId="0" fontId="2" fillId="0" borderId="0" pivotButton="0" quotePrefix="0" xfId="0"/>
    <xf numFmtId="0" fontId="8" fillId="0" borderId="0" pivotButton="0" quotePrefix="0" xfId="0"/>
    <xf numFmtId="0" fontId="1" fillId="0" borderId="1" applyAlignment="1" pivotButton="0" quotePrefix="0" xfId="0">
      <alignment vertical="top" wrapText="1"/>
    </xf>
    <xf numFmtId="0" fontId="1" fillId="5" borderId="1" applyAlignment="1" pivotButton="0" quotePrefix="0" xfId="0">
      <alignment vertical="top" wrapText="1"/>
    </xf>
    <xf numFmtId="0" fontId="1" fillId="6" borderId="1" applyAlignment="1" pivotButton="0" quotePrefix="0" xfId="0">
      <alignment vertical="top"/>
    </xf>
    <xf numFmtId="0" fontId="5"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
  <sheetViews>
    <sheetView workbookViewId="0">
      <pane ySplit="2" topLeftCell="A3" activePane="bottomLeft" state="frozen"/>
      <selection pane="bottomLeft" activeCell="A1" sqref="A1"/>
    </sheetView>
  </sheetViews>
  <sheetFormatPr baseColWidth="8" defaultRowHeight="15"/>
  <cols>
    <col width="46" customWidth="1" min="1" max="1"/>
    <col width="120" customWidth="1" min="2" max="2"/>
  </cols>
  <sheetData>
    <row r="1">
      <c r="A1" s="1" t="inlineStr">
        <is>
          <t>ACCESSPATH - PILOT DATA SCAFFOLD  v0.2</t>
        </is>
      </c>
      <c r="B1" s="2" t="inlineStr"/>
    </row>
    <row r="2">
      <c r="A2" s="3" t="inlineStr">
        <is>
          <t>Virginia Tech, Blacksburg - Drillfield + North Academic District</t>
        </is>
      </c>
      <c r="B2" s="2" t="inlineStr"/>
    </row>
    <row r="3">
      <c r="A3" s="2" t="inlineStr"/>
      <c r="B3" s="2" t="inlineStr"/>
    </row>
    <row r="4">
      <c r="A4" s="4" t="inlineStr">
        <is>
          <t>READ THIS FIRST</t>
        </is>
      </c>
      <c r="B4" s="2" t="inlineStr"/>
    </row>
    <row r="5">
      <c r="A5" s="5" t="inlineStr">
        <is>
          <t>Nobody has surveyed this campus for this file.</t>
        </is>
      </c>
      <c r="B5" s="5" t="inlineStr">
        <is>
          <t>Building coordinates are real and official. Almost nothing else is.</t>
        </is>
      </c>
    </row>
    <row r="6">
      <c r="A6" s="5" t="inlineStr">
        <is>
          <t>Every accessibility value here is UNKNOWN.</t>
        </is>
      </c>
      <c r="B6" s="5" t="inlineStr">
        <is>
          <t>The display_tier column says so on every row. Zero rows are CONFIRMED for accessibility.</t>
        </is>
      </c>
    </row>
    <row r="7">
      <c r="A7" s="5" t="inlineStr">
        <is>
          <t>Do not ship this to end users as-is.</t>
        </is>
      </c>
      <c r="B7" s="5" t="inlineStr">
        <is>
          <t>It is a schema and topology scaffold for wiring up routing, not a description of the built environment.</t>
        </is>
      </c>
    </row>
    <row r="8">
      <c r="A8" s="5" t="inlineStr">
        <is>
          <t>The fix is in the Field Survey tab.</t>
        </is>
      </c>
      <c r="B8" s="5" t="inlineStr">
        <is>
          <t>About two hours of walking converts ~15 rows from UNKNOWN to CONFIRMED and makes the demo honest.</t>
        </is>
      </c>
    </row>
    <row r="9">
      <c r="A9" s="2" t="inlineStr"/>
      <c r="B9" s="2" t="inlineStr"/>
    </row>
    <row r="10">
      <c r="A10" s="4" t="inlineStr">
        <is>
          <t>HOW 'CONFIRMED' vs 'UNKNOWN' WORKS</t>
        </is>
      </c>
      <c r="B10" s="2" t="inlineStr"/>
    </row>
    <row r="11">
      <c r="A11" s="2" t="inlineStr">
        <is>
          <t>display_tier is a formula, not a typed value.</t>
        </is>
      </c>
      <c r="B11" s="2" t="inlineStr">
        <is>
          <t>It reads: CONFIRMED when confidence is "official" or "field_verified", otherwise UNKNOWN. Change confidence and the tier follows.</t>
        </is>
      </c>
    </row>
    <row r="12">
      <c r="A12" s="2" t="inlineStr">
        <is>
          <t>Render the two tiers differently.</t>
        </is>
      </c>
      <c r="B12" s="2" t="inlineStr">
        <is>
          <t>Solid line / filled pin for CONFIRMED. Dashed line / hollow pin, plus the word 'Unverified', for UNKNOWN. Never let them look the same.</t>
        </is>
      </c>
    </row>
    <row r="13">
      <c r="A13" s="2" t="inlineStr">
        <is>
          <t>'inferred' means Claude guessed it.</t>
        </is>
      </c>
      <c r="B13" s="2" t="inlineStr">
        <is>
          <t>Treat inferred exactly as unknown when routing. It is not a weak yes - it is a no-data marker with a hint attached.</t>
        </is>
      </c>
    </row>
    <row r="14">
      <c r="A14" s="2" t="inlineStr">
        <is>
          <t>Coordinates and accessibility are tiered separately.</t>
        </is>
      </c>
      <c r="B14" s="2" t="inlineStr">
        <is>
          <t>A building can have a CONFIRMED coordinate and an UNKNOWN entrance. Buildings.display_tier refers only to the coordinate.</t>
        </is>
      </c>
    </row>
    <row r="15">
      <c r="A15" s="2" t="inlineStr"/>
      <c r="B15" s="2" t="inlineStr"/>
    </row>
    <row r="16">
      <c r="A16" s="2" t="inlineStr">
        <is>
          <t>METADATA (the metadata.json equivalent)</t>
        </is>
      </c>
      <c r="B16" s="2" t="inlineStr"/>
    </row>
    <row r="17">
      <c r="A17" s="4" t="inlineStr">
        <is>
          <t>coordinate_reference_system</t>
        </is>
      </c>
      <c r="B17" s="2" t="inlineStr">
        <is>
          <t>EPSG:4326 (WGS 84), decimal degrees; lon/lat order when exported to GeoJSON</t>
        </is>
      </c>
    </row>
    <row r="18">
      <c r="A18" s="2" t="inlineStr">
        <is>
          <t>linear_units</t>
        </is>
      </c>
      <c r="B18" s="2" t="inlineStr">
        <is>
          <t>metres</t>
        </is>
      </c>
    </row>
    <row r="19">
      <c r="A19" s="2" t="inlineStr">
        <is>
          <t>vertical_datum</t>
        </is>
      </c>
      <c r="B19" s="2" t="inlineStr">
        <is>
          <t>none - floor levels are ordinal labels (00 = basement), not elevations</t>
        </is>
      </c>
    </row>
    <row r="20">
      <c r="A20" s="2" t="inlineStr">
        <is>
          <t>dataset_version</t>
        </is>
      </c>
      <c r="B20" s="2" t="inlineStr">
        <is>
          <t>0.3.0-scaffold</t>
        </is>
      </c>
    </row>
    <row r="21">
      <c r="A21" s="2" t="inlineStr">
        <is>
          <t>generated</t>
        </is>
      </c>
      <c r="B21" s="2" t="inlineStr">
        <is>
          <t>2026-09-19</t>
        </is>
      </c>
    </row>
    <row r="22">
      <c r="A22" s="2" t="inlineStr">
        <is>
          <t>last_field_verified</t>
        </is>
      </c>
      <c r="B22" s="2" t="inlineStr">
        <is>
          <t>NEVER - no field verification has taken place</t>
        </is>
      </c>
    </row>
    <row r="23">
      <c r="A23" s="2" t="inlineStr">
        <is>
          <t>license</t>
        </is>
      </c>
      <c r="B23" s="5" t="inlineStr">
        <is>
          <t>Mixed / unresolved. See Sources. The uploaded floorplan mirror has no established licence.</t>
        </is>
      </c>
    </row>
    <row r="24">
      <c r="A24" s="2" t="inlineStr">
        <is>
          <t>coverage</t>
        </is>
      </c>
      <c r="B24" s="2" t="inlineStr">
        <is>
          <t>16 buildings, 32 entrances, 54 outdoor segments + 10 indoor traversals, 19 connectors, 8 POIs</t>
        </is>
      </c>
    </row>
    <row r="25">
      <c r="A25" s="2" t="inlineStr"/>
      <c r="B25" s="2" t="inlineStr"/>
    </row>
    <row r="26">
      <c r="A26" s="2" t="inlineStr">
        <is>
          <t>WHAT CHANGED IN v0.2</t>
        </is>
      </c>
      <c r="B26" s="2" t="inlineStr"/>
    </row>
    <row r="27">
      <c r="A27" s="4" t="inlineStr">
        <is>
          <t>5 buildings added that postdate the 2006 archive.</t>
        </is>
      </c>
      <c r="B27" s="2" t="inlineStr">
        <is>
          <t>Data and Decision Sciences (2023), Kelly Hall (2008), Center for the Arts (2011), Hitt Hall (2024), Mitchell Hall (2028, under construction).</t>
        </is>
      </c>
    </row>
    <row r="28">
      <c r="A28" s="2" t="inlineStr">
        <is>
          <t>Coordinates re-sourced against the 2025 campus map.</t>
        </is>
      </c>
      <c r="B28" s="2" t="inlineStr">
        <is>
          <t>13 of 14 buildings now carry VT's own published coordinate. Only Hitt Hall is interpolated.</t>
        </is>
      </c>
    </row>
    <row r="29">
      <c r="A29" s="2" t="inlineStr">
        <is>
          <t>display_tier added to four tabs.</t>
        </is>
      </c>
      <c r="B29" s="2" t="inlineStr">
        <is>
          <t>Buildings, Entrances, Paths, Elevators-Ramps-Stairs.</t>
        </is>
      </c>
    </row>
    <row r="30">
      <c r="A30" s="2" t="inlineStr">
        <is>
          <t>Field Survey tab added.</t>
        </is>
      </c>
      <c r="B30" s="2" t="inlineStr">
        <is>
          <t>A walk order and a fill-in sheet that produces field_verified rows.</t>
        </is>
      </c>
    </row>
    <row r="31">
      <c r="A31" s="2" t="inlineStr">
        <is>
          <t>Floorplan Gaps rebuilt against the 2025 map.</t>
        </is>
      </c>
      <c r="B31" s="2" t="inlineStr">
        <is>
          <t>Plus a rename/renumber warning list - see below.</t>
        </is>
      </c>
    </row>
    <row r="32">
      <c r="A32" s="2" t="inlineStr"/>
      <c r="B32" s="2" t="inlineStr"/>
    </row>
    <row r="33">
      <c r="A33" s="2" t="inlineStr">
        <is>
          <t>THE BLUEPRINT ANSWER</t>
        </is>
      </c>
      <c r="B33" s="2" t="inlineStr"/>
    </row>
    <row r="34">
      <c r="A34" s="4" t="inlineStr">
        <is>
          <t>There is no public source for VT floorplans.</t>
        </is>
      </c>
      <c r="B34" s="2" t="inlineStr">
        <is>
          <t>The 2006 CDCD mirror in your upload was a one-off scrape; the original site is gone. Current plans go through vtspacemgmt@vt.edu and are not published.</t>
        </is>
      </c>
    </row>
    <row r="35">
      <c r="A35" s="2" t="inlineStr">
        <is>
          <t>Blueprints would not solve your problem anyway.</t>
        </is>
      </c>
      <c r="B35" s="2" t="inlineStr">
        <is>
          <t>A floorplan shows you a door. It does not tell you whether that door has a step, a 1:12 ramp, or a 40 mm lip. Step-free status is a survey attribute, not a drawing attribute.</t>
        </is>
      </c>
    </row>
    <row r="36">
      <c r="A36" s="2" t="inlineStr">
        <is>
          <t>VT already has the data you actually want.</t>
        </is>
      </c>
      <c r="B36" s="2" t="inlineStr">
        <is>
          <t>The official interactive campus map already does accessible-only routing, with accessible entrances, elevators and curb cuts as layers. See Sources SRC-07.</t>
        </is>
      </c>
    </row>
    <row r="37">
      <c r="A37" s="2" t="inlineStr"/>
      <c r="B37" s="2" t="inlineStr"/>
    </row>
    <row r="38">
      <c r="A38" s="2" t="inlineStr">
        <is>
          <t>FIVE THINGS THAT NEED YOUR DECISION</t>
        </is>
      </c>
      <c r="B38" s="2" t="inlineStr"/>
    </row>
    <row r="39">
      <c r="A39" s="4" t="inlineStr">
        <is>
          <t>1. Tab name changed.</t>
        </is>
      </c>
      <c r="B39" s="2" t="inlineStr">
        <is>
          <t>Excel forbids '/' in sheet names, so 'Elevators/Ramps/Stairs' is 'Elevators-Ramps-Stairs'.</t>
        </is>
      </c>
    </row>
    <row r="40">
      <c r="A40" s="2" t="inlineStr">
        <is>
          <t>2. connector_type has no bridge.</t>
        </is>
      </c>
      <c r="B40" s="2" t="inlineStr">
        <is>
          <t>Torgersen floor 2 connects to Newman Library floor 3 by enclosed bridge; Whittemore has 3rd-floor patio bridges. Three rows are parked under 'lift'. Add: bridge, tunnel, escalator.</t>
        </is>
      </c>
    </row>
    <row r="41">
      <c r="A41" s="2" t="inlineStr">
        <is>
          <t>3. status.csv's status column is ambiguous.</t>
        </is>
      </c>
      <c r="B41" s="2" t="inlineStr">
        <is>
          <t>Your example uses 'closed' (operational). A report about a step-free door needs an accessibility value. One column cannot carry both vocabularies.</t>
        </is>
      </c>
    </row>
    <row r="42">
      <c r="A42" s="2" t="inlineStr">
        <is>
          <t>4. No Nodes table.</t>
        </is>
      </c>
      <c r="B42" s="2" t="inlineStr">
        <is>
          <t>node_id is referenced by three tabs and defined in none. Junction coordinates are duplicated across path rows and will drift.</t>
        </is>
      </c>
    </row>
    <row r="43">
      <c r="A43" s="2" t="inlineStr">
        <is>
          <t>5. Building number is NOT a stable key.</t>
        </is>
      </c>
      <c r="B43" s="2" t="inlineStr">
        <is>
          <t>VT reuses numbers across demolition and rebuild. #188 was Shultz Hall in 2006 and is the Center for the Arts now - the archive's 0188 plans are the WRONG BUILDING. See Floorplan Gaps.</t>
        </is>
      </c>
    </row>
    <row r="44">
      <c r="A44" s="2" t="inlineStr"/>
      <c r="B44" s="2" t="inlineStr"/>
    </row>
    <row r="45">
      <c r="A45" s="4" t="inlineStr">
        <is>
          <t>LIVE COUNTS</t>
        </is>
      </c>
      <c r="B45" s="2" t="inlineStr"/>
    </row>
    <row r="46">
      <c r="A46" s="2" t="inlineStr">
        <is>
          <t>Buildings</t>
        </is>
      </c>
      <c r="B46" s="2">
        <f>COUNTA(Buildings!A2:A200)</f>
        <v/>
      </c>
    </row>
    <row r="47">
      <c r="A47" s="2" t="inlineStr">
        <is>
          <t>Entrances</t>
        </is>
      </c>
      <c r="B47" s="2">
        <f>COUNTA(Entrances!A2:A400)</f>
        <v/>
      </c>
    </row>
    <row r="48">
      <c r="A48" s="2" t="inlineStr">
        <is>
          <t>Path segments</t>
        </is>
      </c>
      <c r="B48" s="2">
        <f>COUNTA(Paths!A2:A400)</f>
        <v/>
      </c>
    </row>
    <row r="49">
      <c r="A49" s="2" t="inlineStr">
        <is>
          <t>Connectors</t>
        </is>
      </c>
      <c r="B49" s="2">
        <f>COUNTA('Elevators-Ramps-Stairs'!A2:A400)</f>
        <v/>
      </c>
    </row>
    <row r="50">
      <c r="A50" s="2" t="inlineStr">
        <is>
          <t>Buildings with a CONFIRMED coordinate</t>
        </is>
      </c>
      <c r="B50" s="2">
        <f>COUNTIF(Buildings!P2:P200,"CONFIRMED")</f>
        <v/>
      </c>
    </row>
    <row r="51">
      <c r="A51" s="2" t="inlineStr">
        <is>
          <t>Entrances CONFIRMED</t>
        </is>
      </c>
      <c r="B51" s="2">
        <f>COUNTIF(Entrances!N2:N400,"CONFIRMED")</f>
        <v/>
      </c>
    </row>
    <row r="52">
      <c r="A52" s="2" t="inlineStr">
        <is>
          <t>Entrances UNKNOWN</t>
        </is>
      </c>
      <c r="B52" s="2">
        <f>COUNTIF(Entrances!N2:N400,"UNKNOWN")</f>
        <v/>
      </c>
    </row>
    <row r="53">
      <c r="A53" s="2" t="inlineStr">
        <is>
          <t>Path segments CONFIRMED</t>
        </is>
      </c>
      <c r="B53" s="2">
        <f>COUNTIF(Paths!S2:S400,"CONFIRMED")</f>
        <v/>
      </c>
    </row>
    <row r="54">
      <c r="A54" s="2" t="inlineStr">
        <is>
          <t>Indoor traversals (cut-throughs)</t>
        </is>
      </c>
      <c r="B54" s="2">
        <f>COUNTIF(Paths!N2:N400,"yes")</f>
        <v/>
      </c>
    </row>
    <row r="55">
      <c r="A55" s="2" t="inlineStr">
        <is>
          <t>Connectors CONFIRMED</t>
        </is>
      </c>
      <c r="B55" s="5">
        <f>COUNTIF('Elevators-Ramps-Stairs'!M2:M400,"CONFIRMED")</f>
        <v/>
      </c>
    </row>
    <row r="56">
      <c r="A56" s="2" t="inlineStr">
        <is>
          <t>Rows a human has physically checked</t>
        </is>
      </c>
      <c r="B56" s="2">
        <f>0</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7"/>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9" customWidth="1" min="3" max="3"/>
    <col width="8" customWidth="1" min="4" max="4"/>
    <col width="11" customWidth="1" min="5" max="5"/>
    <col width="11" customWidth="1" min="6" max="6"/>
    <col width="24" customWidth="1" min="7" max="7"/>
    <col width="10" customWidth="1" min="8" max="8"/>
    <col width="10" customWidth="1" min="9" max="9"/>
    <col width="16" customWidth="1" min="10" max="10"/>
    <col width="58" customWidth="1" min="11" max="11"/>
    <col width="11" customWidth="1" min="12" max="12"/>
    <col width="11" customWidth="1" min="13" max="13"/>
    <col width="40" customWidth="1" min="14" max="14"/>
    <col width="12" customWidth="1" min="15" max="15"/>
    <col width="14" customWidth="1" min="16" max="16"/>
    <col width="62" customWidth="1" min="17" max="17"/>
  </cols>
  <sheetData>
    <row r="1">
      <c r="A1" s="6" t="inlineStr">
        <is>
          <t>building_id</t>
        </is>
      </c>
      <c r="B1" s="6" t="inlineStr">
        <is>
          <t>name</t>
        </is>
      </c>
      <c r="C1" s="6" t="inlineStr">
        <is>
          <t>building_number</t>
        </is>
      </c>
      <c r="D1" s="6" t="inlineStr">
        <is>
          <t>abbreviation</t>
        </is>
      </c>
      <c r="E1" s="6" t="inlineStr">
        <is>
          <t>latitude</t>
        </is>
      </c>
      <c r="F1" s="6" t="inlineStr">
        <is>
          <t>longitude</t>
        </is>
      </c>
      <c r="G1" s="6" t="inlineStr">
        <is>
          <t>address</t>
        </is>
      </c>
      <c r="H1" s="6" t="inlineStr">
        <is>
          <t>map_grid_2025</t>
        </is>
      </c>
      <c r="I1" s="6" t="inlineStr">
        <is>
          <t>year_built</t>
        </is>
      </c>
      <c r="J1" s="6" t="inlineStr">
        <is>
          <t>geometry_type</t>
        </is>
      </c>
      <c r="K1" s="6" t="inlineStr">
        <is>
          <t>coord_source</t>
        </is>
      </c>
      <c r="L1" s="6" t="inlineStr">
        <is>
          <t>confidence</t>
        </is>
      </c>
      <c r="M1" s="6" t="inlineStr">
        <is>
          <t>floorplan_in_archive</t>
        </is>
      </c>
      <c r="N1" s="6" t="inlineStr">
        <is>
          <t>floorplan_files</t>
        </is>
      </c>
      <c r="O1" s="6" t="inlineStr">
        <is>
          <t>new_since_2006</t>
        </is>
      </c>
      <c r="P1" s="6" t="inlineStr">
        <is>
          <t>display_tier</t>
        </is>
      </c>
      <c r="Q1" s="6" t="inlineStr">
        <is>
          <t>notes</t>
        </is>
      </c>
    </row>
    <row r="2">
      <c r="A2" s="7" t="inlineStr">
        <is>
          <t>VT-GOODWIN</t>
        </is>
      </c>
      <c r="B2" s="7" t="inlineStr">
        <is>
          <t>Goodwin Hall</t>
        </is>
      </c>
      <c r="C2" s="7" t="inlineStr">
        <is>
          <t>136</t>
        </is>
      </c>
      <c r="D2" s="7" t="inlineStr">
        <is>
          <t>GOODW</t>
        </is>
      </c>
      <c r="E2" s="8" t="n">
        <v>37.23237</v>
      </c>
      <c r="F2" s="8" t="n">
        <v>-80.42542</v>
      </c>
      <c r="G2" s="7" t="inlineStr">
        <is>
          <t>635 Prices Fork Road</t>
        </is>
      </c>
      <c r="H2" s="7" t="inlineStr">
        <is>
          <t>G-2</t>
        </is>
      </c>
      <c r="I2" s="7" t="inlineStr">
        <is>
          <t>2014</t>
        </is>
      </c>
      <c r="J2" s="7" t="inlineStr">
        <is>
          <t>point_centroid</t>
        </is>
      </c>
      <c r="K2" s="7" t="inlineStr">
        <is>
          <t>vt.edu/about/locations/buildings/signature-engineering.html</t>
        </is>
      </c>
      <c r="L2" s="7" t="inlineStr">
        <is>
          <t>official</t>
        </is>
      </c>
      <c r="M2" s="9" t="inlineStr">
        <is>
          <t>NO</t>
        </is>
      </c>
      <c r="N2" s="7" t="inlineStr"/>
      <c r="O2" s="7" t="inlineStr">
        <is>
          <t>yes</t>
        </is>
      </c>
      <c r="P2" s="7">
        <f>IF(OR(L2="official",L2="field_verified"),"CONFIRMED","UNKNOWN")</f>
        <v/>
      </c>
      <c r="Q2" s="7" t="inlineStr">
        <is>
          <t>Postdates the 2006 archive.</t>
        </is>
      </c>
    </row>
    <row r="3">
      <c r="A3" s="10" t="inlineStr">
        <is>
          <t>VT-DURHAM</t>
        </is>
      </c>
      <c r="B3" s="10" t="inlineStr">
        <is>
          <t>Durham Hall</t>
        </is>
      </c>
      <c r="C3" s="10" t="inlineStr">
        <is>
          <t>126</t>
        </is>
      </c>
      <c r="D3" s="10" t="inlineStr">
        <is>
          <t>DURHM</t>
        </is>
      </c>
      <c r="E3" s="11" t="n">
        <v>37.23174</v>
      </c>
      <c r="F3" s="11" t="n">
        <v>-80.42382000000001</v>
      </c>
      <c r="G3" s="10" t="inlineStr">
        <is>
          <t>1145 Perry St.</t>
        </is>
      </c>
      <c r="H3" s="10" t="inlineStr">
        <is>
          <t>G-2</t>
        </is>
      </c>
      <c r="I3" s="10" t="inlineStr">
        <is>
          <t>1997</t>
        </is>
      </c>
      <c r="J3" s="10" t="inlineStr">
        <is>
          <t>point_centroid</t>
        </is>
      </c>
      <c r="K3" s="10" t="inlineStr">
        <is>
          <t>vt.edu/about/locations/buildings/durham-hall.html</t>
        </is>
      </c>
      <c r="L3" s="10" t="inlineStr">
        <is>
          <t>official</t>
        </is>
      </c>
      <c r="M3" s="10" t="inlineStr">
        <is>
          <t>yes</t>
        </is>
      </c>
      <c r="N3" s="10" t="inlineStr">
        <is>
          <t>0126sa01.gif, 0126sa02.gif, 0126sa03.gif, 0126sa04.gif</t>
        </is>
      </c>
      <c r="O3" s="10" t="inlineStr">
        <is>
          <t>no</t>
        </is>
      </c>
      <c r="P3" s="10">
        <f>IF(OR(L3="official",L3="field_verified"),"CONFIRMED","UNKNOWN")</f>
        <v/>
      </c>
      <c r="Q3" s="10" t="inlineStr"/>
    </row>
    <row r="4">
      <c r="A4" s="10" t="inlineStr">
        <is>
          <t>VT-WHITTEMORE</t>
        </is>
      </c>
      <c r="B4" s="10" t="inlineStr">
        <is>
          <t>Whittemore Hall</t>
        </is>
      </c>
      <c r="C4" s="10" t="inlineStr">
        <is>
          <t>134</t>
        </is>
      </c>
      <c r="D4" s="10" t="inlineStr">
        <is>
          <t>WHIT</t>
        </is>
      </c>
      <c r="E4" s="11" t="n">
        <v>37.23107</v>
      </c>
      <c r="F4" s="11" t="n">
        <v>-80.42444999999999</v>
      </c>
      <c r="G4" s="10" t="inlineStr">
        <is>
          <t>1185 Perry St.</t>
        </is>
      </c>
      <c r="H4" s="10" t="inlineStr">
        <is>
          <t>G-3</t>
        </is>
      </c>
      <c r="I4" s="10" t="inlineStr">
        <is>
          <t>1971</t>
        </is>
      </c>
      <c r="J4" s="10" t="inlineStr">
        <is>
          <t>point_centroid</t>
        </is>
      </c>
      <c r="K4" s="10" t="inlineStr">
        <is>
          <t>vt.edu/about/locations/buildings/whittemore-hall.html</t>
        </is>
      </c>
      <c r="L4" s="10" t="inlineStr">
        <is>
          <t>official</t>
        </is>
      </c>
      <c r="M4" s="10" t="inlineStr">
        <is>
          <t>yes</t>
        </is>
      </c>
      <c r="N4" s="10" t="inlineStr">
        <is>
          <t>0134sa01.gif, 0134sa02.gif, 0134sa03.gif, 0134sa04.gif, 0134sa05.gif, 0134sa06.gif, 0134sa14.gif</t>
        </is>
      </c>
      <c r="O4" s="10" t="inlineStr">
        <is>
          <t>no</t>
        </is>
      </c>
      <c r="P4" s="10">
        <f>IF(OR(L4="official",L4="field_verified"),"CONFIRMED","UNKNOWN")</f>
        <v/>
      </c>
      <c r="Q4" s="10" t="inlineStr"/>
    </row>
    <row r="5">
      <c r="A5" s="10" t="inlineStr">
        <is>
          <t>VT-MCBRYDE</t>
        </is>
      </c>
      <c r="B5" s="10" t="inlineStr">
        <is>
          <t>McBryde Hall</t>
        </is>
      </c>
      <c r="C5" s="10" t="inlineStr">
        <is>
          <t>151</t>
        </is>
      </c>
      <c r="D5" s="10" t="inlineStr">
        <is>
          <t>MCB</t>
        </is>
      </c>
      <c r="E5" s="11" t="n">
        <v>37.23062</v>
      </c>
      <c r="F5" s="11" t="n">
        <v>-80.42178</v>
      </c>
      <c r="G5" s="10" t="inlineStr">
        <is>
          <t>225 Stanger St.</t>
        </is>
      </c>
      <c r="H5" s="10" t="inlineStr">
        <is>
          <t>H-3</t>
        </is>
      </c>
      <c r="I5" s="10" t="inlineStr">
        <is>
          <t>1972</t>
        </is>
      </c>
      <c r="J5" s="10" t="inlineStr">
        <is>
          <t>point_centroid</t>
        </is>
      </c>
      <c r="K5" s="10" t="inlineStr">
        <is>
          <t>vt.edu/about/locations/buildings/mcbryde-hall.html</t>
        </is>
      </c>
      <c r="L5" s="10" t="inlineStr">
        <is>
          <t>official</t>
        </is>
      </c>
      <c r="M5" s="10" t="inlineStr">
        <is>
          <t>yes</t>
        </is>
      </c>
      <c r="N5" s="10" t="inlineStr">
        <is>
          <t>0151sa01.gif, 0151sa02.gif, 0151sa03.gif, 0151sa04.gif, 0151sa05.gif, 0151sa06.gif, 0151sa14.gif</t>
        </is>
      </c>
      <c r="O5" s="10" t="inlineStr">
        <is>
          <t>no</t>
        </is>
      </c>
      <c r="P5" s="10">
        <f>IF(OR(L5="official",L5="field_verified"),"CONFIRMED","UNKNOWN")</f>
        <v/>
      </c>
      <c r="Q5" s="10" t="inlineStr"/>
    </row>
    <row r="6">
      <c r="A6" s="10" t="inlineStr">
        <is>
          <t>VT-HANCOCK</t>
        </is>
      </c>
      <c r="B6" s="10" t="inlineStr">
        <is>
          <t>John W. Hancock Jr. Hall</t>
        </is>
      </c>
      <c r="C6" s="10" t="inlineStr">
        <is>
          <t>133C</t>
        </is>
      </c>
      <c r="D6" s="10" t="inlineStr">
        <is>
          <t>HAN</t>
        </is>
      </c>
      <c r="E6" s="11" t="n">
        <v>37.23016</v>
      </c>
      <c r="F6" s="11" t="n">
        <v>-80.42427000000001</v>
      </c>
      <c r="G6" s="10" t="inlineStr">
        <is>
          <t>490 Old Turner St.</t>
        </is>
      </c>
      <c r="H6" s="10" t="inlineStr">
        <is>
          <t>G-3</t>
        </is>
      </c>
      <c r="I6" s="10" t="inlineStr">
        <is>
          <t>1990</t>
        </is>
      </c>
      <c r="J6" s="10" t="inlineStr">
        <is>
          <t>point_centroid</t>
        </is>
      </c>
      <c r="K6" s="10" t="inlineStr">
        <is>
          <t>vt.edu/about/locations/buildings/hancock-hall.html</t>
        </is>
      </c>
      <c r="L6" s="10" t="inlineStr">
        <is>
          <t>official</t>
        </is>
      </c>
      <c r="M6" s="10" t="inlineStr">
        <is>
          <t>yes</t>
        </is>
      </c>
      <c r="N6" s="10" t="inlineStr">
        <is>
          <t>133csa00.gif, 133csa01.gif, 133csa02.gif</t>
        </is>
      </c>
      <c r="O6" s="10" t="inlineStr">
        <is>
          <t>no</t>
        </is>
      </c>
      <c r="P6" s="10">
        <f>IF(OR(L6="official",L6="field_verified"),"CONFIRMED","UNKNOWN")</f>
        <v/>
      </c>
      <c r="Q6" s="10" t="inlineStr"/>
    </row>
    <row r="7">
      <c r="A7" s="10" t="inlineStr">
        <is>
          <t>VT-TORGERSEN</t>
        </is>
      </c>
      <c r="B7" s="10" t="inlineStr">
        <is>
          <t>Torgersen Hall</t>
        </is>
      </c>
      <c r="C7" s="10" t="inlineStr">
        <is>
          <t>174</t>
        </is>
      </c>
      <c r="D7" s="10" t="inlineStr">
        <is>
          <t>TORG</t>
        </is>
      </c>
      <c r="E7" s="11" t="n">
        <v>37.22978</v>
      </c>
      <c r="F7" s="11" t="n">
        <v>-80.41997000000001</v>
      </c>
      <c r="G7" s="10" t="inlineStr">
        <is>
          <t>620 Drillfield Drive</t>
        </is>
      </c>
      <c r="H7" s="10" t="inlineStr">
        <is>
          <t>I-3</t>
        </is>
      </c>
      <c r="I7" s="10" t="inlineStr">
        <is>
          <t>2000</t>
        </is>
      </c>
      <c r="J7" s="10" t="inlineStr">
        <is>
          <t>point_centroid</t>
        </is>
      </c>
      <c r="K7" s="10" t="inlineStr">
        <is>
          <t>vt.edu/about/locations/buildings/torgersen-hall.html</t>
        </is>
      </c>
      <c r="L7" s="10" t="inlineStr">
        <is>
          <t>official</t>
        </is>
      </c>
      <c r="M7" s="10" t="inlineStr">
        <is>
          <t>yes</t>
        </is>
      </c>
      <c r="N7" s="10" t="inlineStr">
        <is>
          <t>0174sa01.gif, 0174sa02.gif, 0174sa03.gif, 0174sa17.gif</t>
        </is>
      </c>
      <c r="O7" s="10" t="inlineStr">
        <is>
          <t>no</t>
        </is>
      </c>
      <c r="P7" s="10">
        <f>IF(OR(L7="official",L7="field_verified"),"CONFIRMED","UNKNOWN")</f>
        <v/>
      </c>
      <c r="Q7" s="10" t="inlineStr"/>
    </row>
    <row r="8">
      <c r="A8" s="10" t="inlineStr">
        <is>
          <t>VT-SQUIRES</t>
        </is>
      </c>
      <c r="B8" s="10" t="inlineStr">
        <is>
          <t>Squires Student Center</t>
        </is>
      </c>
      <c r="C8" s="10" t="inlineStr">
        <is>
          <t>180</t>
        </is>
      </c>
      <c r="D8" s="10" t="inlineStr">
        <is>
          <t>SQUIR</t>
        </is>
      </c>
      <c r="E8" s="11" t="n">
        <v>37.22962</v>
      </c>
      <c r="F8" s="11" t="n">
        <v>-80.41795999999999</v>
      </c>
      <c r="G8" s="10" t="inlineStr">
        <is>
          <t>290 College Ave.</t>
        </is>
      </c>
      <c r="H8" s="10" t="inlineStr">
        <is>
          <t>I-3</t>
        </is>
      </c>
      <c r="I8" s="10" t="inlineStr">
        <is>
          <t>1937</t>
        </is>
      </c>
      <c r="J8" s="10" t="inlineStr">
        <is>
          <t>point_centroid</t>
        </is>
      </c>
      <c r="K8" s="10" t="inlineStr">
        <is>
          <t>vt.edu/about/locations/buildings/squires-student-center.html</t>
        </is>
      </c>
      <c r="L8" s="10" t="inlineStr">
        <is>
          <t>official</t>
        </is>
      </c>
      <c r="M8" s="10" t="inlineStr">
        <is>
          <t>yes</t>
        </is>
      </c>
      <c r="N8" s="10" t="inlineStr">
        <is>
          <t>0180sa00.gif, 0180sa01.gif, 0180sa02.gif, 0180sa03.gif, 0180sa04.gif</t>
        </is>
      </c>
      <c r="O8" s="10" t="inlineStr">
        <is>
          <t>no</t>
        </is>
      </c>
      <c r="P8" s="10">
        <f>IF(OR(L8="official",L8="field_verified"),"CONFIRMED","UNKNOWN")</f>
        <v/>
      </c>
      <c r="Q8" s="10" t="inlineStr"/>
    </row>
    <row r="9">
      <c r="A9" s="10" t="inlineStr">
        <is>
          <t>VT-BURRUSS</t>
        </is>
      </c>
      <c r="B9" s="10" t="inlineStr">
        <is>
          <t>Burruss Hall</t>
        </is>
      </c>
      <c r="C9" s="10" t="inlineStr">
        <is>
          <t>176</t>
        </is>
      </c>
      <c r="D9" s="10" t="inlineStr">
        <is>
          <t>BUR</t>
        </is>
      </c>
      <c r="E9" s="11" t="n">
        <v>37.229</v>
      </c>
      <c r="F9" s="11" t="n">
        <v>-80.42371</v>
      </c>
      <c r="G9" s="10" t="inlineStr">
        <is>
          <t>800 Drillfield Drive</t>
        </is>
      </c>
      <c r="H9" s="10" t="inlineStr">
        <is>
          <t>G-4</t>
        </is>
      </c>
      <c r="I9" s="10" t="inlineStr">
        <is>
          <t>1936</t>
        </is>
      </c>
      <c r="J9" s="10" t="inlineStr">
        <is>
          <t>point_centroid</t>
        </is>
      </c>
      <c r="K9" s="10" t="inlineStr">
        <is>
          <t>vt.edu/about/locations/buildings/burruss-hall.html</t>
        </is>
      </c>
      <c r="L9" s="10" t="inlineStr">
        <is>
          <t>official</t>
        </is>
      </c>
      <c r="M9" s="10" t="inlineStr">
        <is>
          <t>yes</t>
        </is>
      </c>
      <c r="N9" s="10" t="inlineStr">
        <is>
          <t>0176sa01.gif, 0176sa02.gif, 0176sa03.gif, 0176sa04.gif, 0176sa05.gif, 0176sa06.gif</t>
        </is>
      </c>
      <c r="O9" s="10" t="inlineStr">
        <is>
          <t>no</t>
        </is>
      </c>
      <c r="P9" s="10">
        <f>IF(OR(L9="official",L9="field_verified"),"CONFIRMED","UNKNOWN")</f>
        <v/>
      </c>
      <c r="Q9" s="10" t="inlineStr"/>
    </row>
    <row r="10">
      <c r="A10" s="10" t="inlineStr">
        <is>
          <t>VT-NEWMAN-LIB</t>
        </is>
      </c>
      <c r="B10" s="10" t="inlineStr">
        <is>
          <t>Carol M. Newman Library</t>
        </is>
      </c>
      <c r="C10" s="10" t="inlineStr">
        <is>
          <t>177</t>
        </is>
      </c>
      <c r="D10" s="10" t="inlineStr">
        <is>
          <t>LIBR</t>
        </is>
      </c>
      <c r="E10" s="11" t="n">
        <v>37.22876</v>
      </c>
      <c r="F10" s="11" t="n">
        <v>-80.41924</v>
      </c>
      <c r="G10" s="10" t="inlineStr">
        <is>
          <t>560 Drillfield Drive</t>
        </is>
      </c>
      <c r="H10" s="10" t="inlineStr">
        <is>
          <t>I-4</t>
        </is>
      </c>
      <c r="I10" s="10" t="inlineStr">
        <is>
          <t>1955</t>
        </is>
      </c>
      <c r="J10" s="10" t="inlineStr">
        <is>
          <t>point_centroid</t>
        </is>
      </c>
      <c r="K10" s="10" t="inlineStr">
        <is>
          <t>vt.edu/about/locations/buildings/newman-library.html</t>
        </is>
      </c>
      <c r="L10" s="10" t="inlineStr">
        <is>
          <t>official</t>
        </is>
      </c>
      <c r="M10" s="12" t="inlineStr">
        <is>
          <t>NO</t>
        </is>
      </c>
      <c r="N10" s="10" t="inlineStr"/>
      <c r="O10" s="10" t="inlineStr">
        <is>
          <t>no</t>
        </is>
      </c>
      <c r="P10" s="10">
        <f>IF(OR(L10="official",L10="field_verified"),"CONFIRMED","UNKNOWN")</f>
        <v/>
      </c>
      <c r="Q10" s="10" t="inlineStr">
        <is>
          <t>Listed in the 2006 index but no plan file was mirrored.</t>
        </is>
      </c>
    </row>
    <row r="11">
      <c r="A11" s="7" t="inlineStr">
        <is>
          <t>VT-DDS</t>
        </is>
      </c>
      <c r="B11" s="7" t="inlineStr">
        <is>
          <t>Data and Decision Sciences Building</t>
        </is>
      </c>
      <c r="C11" s="7" t="inlineStr">
        <is>
          <t>137</t>
        </is>
      </c>
      <c r="D11" s="7" t="inlineStr">
        <is>
          <t>DDS</t>
        </is>
      </c>
      <c r="E11" s="8" t="n">
        <v>37.23186</v>
      </c>
      <c r="F11" s="8" t="n">
        <v>-80.42694</v>
      </c>
      <c r="G11" s="7" t="inlineStr">
        <is>
          <t>727 Prices Fork Road</t>
        </is>
      </c>
      <c r="H11" s="7" t="inlineStr">
        <is>
          <t>F-2</t>
        </is>
      </c>
      <c r="I11" s="7" t="inlineStr">
        <is>
          <t>2023</t>
        </is>
      </c>
      <c r="J11" s="7" t="inlineStr">
        <is>
          <t>point_centroid</t>
        </is>
      </c>
      <c r="K11" s="7" t="inlineStr">
        <is>
          <t>vt.edu/about/locations/buildings/data-and-decision-sciences.html</t>
        </is>
      </c>
      <c r="L11" s="7" t="inlineStr">
        <is>
          <t>official</t>
        </is>
      </c>
      <c r="M11" s="9" t="inlineStr">
        <is>
          <t>NO</t>
        </is>
      </c>
      <c r="N11" s="7" t="inlineStr"/>
      <c r="O11" s="7" t="inlineStr">
        <is>
          <t>yes</t>
        </is>
      </c>
      <c r="P11" s="7">
        <f>IF(OR(L11="official",L11="field_verified"),"CONFIRMED","UNKNOWN")</f>
        <v/>
      </c>
      <c r="Q11" s="7" t="inlineStr">
        <is>
          <t>Postdates the 2006 archive.</t>
        </is>
      </c>
    </row>
    <row r="12">
      <c r="A12" s="7" t="inlineStr">
        <is>
          <t>VT-KELLY</t>
        </is>
      </c>
      <c r="B12" s="7" t="inlineStr">
        <is>
          <t>Kelly Hall</t>
        </is>
      </c>
      <c r="C12" s="7" t="inlineStr">
        <is>
          <t>129</t>
        </is>
      </c>
      <c r="D12" s="7" t="inlineStr">
        <is>
          <t>KELLY</t>
        </is>
      </c>
      <c r="E12" s="8" t="n">
        <v>37.23108</v>
      </c>
      <c r="F12" s="8" t="n">
        <v>-80.42243999999999</v>
      </c>
      <c r="G12" s="7" t="inlineStr">
        <is>
          <t>325 Stanger St.</t>
        </is>
      </c>
      <c r="H12" s="7" t="inlineStr">
        <is>
          <t>H-3</t>
        </is>
      </c>
      <c r="I12" s="7" t="inlineStr">
        <is>
          <t>2008</t>
        </is>
      </c>
      <c r="J12" s="7" t="inlineStr">
        <is>
          <t>point_centroid</t>
        </is>
      </c>
      <c r="K12" s="7" t="inlineStr">
        <is>
          <t>vt.edu/about/locations/buildings/kelly-hall.html</t>
        </is>
      </c>
      <c r="L12" s="7" t="inlineStr">
        <is>
          <t>official</t>
        </is>
      </c>
      <c r="M12" s="9" t="inlineStr">
        <is>
          <t>NO</t>
        </is>
      </c>
      <c r="N12" s="7" t="inlineStr"/>
      <c r="O12" s="7" t="inlineStr">
        <is>
          <t>yes</t>
        </is>
      </c>
      <c r="P12" s="7">
        <f>IF(OR(L12="official",L12="field_verified"),"CONFIRMED","UNKNOWN")</f>
        <v/>
      </c>
      <c r="Q12" s="7" t="inlineStr">
        <is>
          <t>Postdates the 2006 archive.</t>
        </is>
      </c>
    </row>
    <row r="13">
      <c r="A13" s="7" t="inlineStr">
        <is>
          <t>VT-CFA</t>
        </is>
      </c>
      <c r="B13" s="7" t="inlineStr">
        <is>
          <t>Center for the Arts (formerly Moss Arts Center)</t>
        </is>
      </c>
      <c r="C13" s="7" t="inlineStr">
        <is>
          <t>188</t>
        </is>
      </c>
      <c r="D13" s="7" t="inlineStr">
        <is>
          <t>MAC</t>
        </is>
      </c>
      <c r="E13" s="8" t="n">
        <v>37.23234</v>
      </c>
      <c r="F13" s="8" t="n">
        <v>-80.41764999999999</v>
      </c>
      <c r="G13" s="7" t="inlineStr">
        <is>
          <t>190 Alumni Mall</t>
        </is>
      </c>
      <c r="H13" s="7" t="inlineStr">
        <is>
          <t>I-2</t>
        </is>
      </c>
      <c r="I13" s="7" t="inlineStr">
        <is>
          <t>2011</t>
        </is>
      </c>
      <c r="J13" s="7" t="inlineStr">
        <is>
          <t>point_centroid</t>
        </is>
      </c>
      <c r="K13" s="7" t="inlineStr">
        <is>
          <t>vt.edu/about/locations/buildings/center-for-the-arts.html</t>
        </is>
      </c>
      <c r="L13" s="7" t="inlineStr">
        <is>
          <t>official</t>
        </is>
      </c>
      <c r="M13" s="7" t="inlineStr">
        <is>
          <t>yes</t>
        </is>
      </c>
      <c r="N13" s="7" t="inlineStr">
        <is>
          <t>0188sa00.gif, 0188sa15.gif</t>
        </is>
      </c>
      <c r="O13" s="7" t="inlineStr">
        <is>
          <t>yes</t>
        </is>
      </c>
      <c r="P13" s="7">
        <f>IF(OR(L13="official",L13="field_verified"),"CONFIRMED","UNKNOWN")</f>
        <v/>
      </c>
      <c r="Q13" s="7" t="inlineStr"/>
    </row>
    <row r="14">
      <c r="A14" s="7" t="inlineStr">
        <is>
          <t>VT-HITT</t>
        </is>
      </c>
      <c r="B14" s="7" t="inlineStr">
        <is>
          <t>Hitt Hall</t>
        </is>
      </c>
      <c r="C14" s="7" t="inlineStr">
        <is>
          <t>168</t>
        </is>
      </c>
      <c r="D14" s="7" t="inlineStr">
        <is>
          <t>HITT</t>
        </is>
      </c>
      <c r="E14" s="8" t="n">
        <v>37.2314</v>
      </c>
      <c r="F14" s="8" t="n">
        <v>-80.4276</v>
      </c>
      <c r="G14" s="7" t="inlineStr">
        <is>
          <t>1385 Perry St.</t>
        </is>
      </c>
      <c r="H14" s="7" t="inlineStr">
        <is>
          <t>G-3</t>
        </is>
      </c>
      <c r="I14" s="7" t="inlineStr">
        <is>
          <t>2024</t>
        </is>
      </c>
      <c r="J14" s="7" t="inlineStr">
        <is>
          <t>point_centroid</t>
        </is>
      </c>
      <c r="K14" s="7" t="inlineStr">
        <is>
          <t>Perry St address interpolation between Whittemore (1185) and Bishop-Favrao (1345); grid G-3 on the 2025 map</t>
        </is>
      </c>
      <c r="L14" s="7" t="inlineStr">
        <is>
          <t>inferred</t>
        </is>
      </c>
      <c r="M14" s="9" t="inlineStr">
        <is>
          <t>NO</t>
        </is>
      </c>
      <c r="N14" s="7" t="inlineStr"/>
      <c r="O14" s="7" t="inlineStr">
        <is>
          <t>yes</t>
        </is>
      </c>
      <c r="P14" s="7">
        <f>IF(OR(L14="official",L14="field_verified"),"CONFIRMED","UNKNOWN")</f>
        <v/>
      </c>
      <c r="Q14" s="7" t="inlineStr">
        <is>
          <t>Postdates the 2006 archive.</t>
        </is>
      </c>
    </row>
    <row r="15">
      <c r="A15" s="7" t="inlineStr">
        <is>
          <t>VT-MITCHELL</t>
        </is>
      </c>
      <c r="B15" s="7" t="inlineStr">
        <is>
          <t>Mitchell Hall (under construction, 2028)</t>
        </is>
      </c>
      <c r="C15" s="7" t="inlineStr">
        <is>
          <t>133</t>
        </is>
      </c>
      <c r="D15" s="7" t="inlineStr">
        <is>
          <t>MITCH</t>
        </is>
      </c>
      <c r="E15" s="8" t="n">
        <v>37.2311</v>
      </c>
      <c r="F15" s="8" t="n">
        <v>-80.4234</v>
      </c>
      <c r="G15" s="7" t="inlineStr">
        <is>
          <t>Randolph Hall site, Stanger St.</t>
        </is>
      </c>
      <c r="H15" s="7" t="inlineStr">
        <is>
          <t>H-3</t>
        </is>
      </c>
      <c r="I15" s="7" t="inlineStr">
        <is>
          <t>2028</t>
        </is>
      </c>
      <c r="J15" s="7" t="inlineStr">
        <is>
          <t>point_centroid</t>
        </is>
      </c>
      <c r="K15" s="7" t="inlineStr">
        <is>
          <t>Placed on the former Randolph Hall footprint between Whittemore and Kelly. NOT a surveyed position.</t>
        </is>
      </c>
      <c r="L15" s="7" t="inlineStr">
        <is>
          <t>inferred</t>
        </is>
      </c>
      <c r="M15" s="9" t="inlineStr">
        <is>
          <t>NO</t>
        </is>
      </c>
      <c r="N15" s="7" t="inlineStr"/>
      <c r="O15" s="7" t="inlineStr">
        <is>
          <t>yes</t>
        </is>
      </c>
      <c r="P15" s="7">
        <f>IF(OR(L15="official",L15="field_verified"),"CONFIRMED","UNKNOWN")</f>
        <v/>
      </c>
      <c r="Q15" s="7" t="inlineStr">
        <is>
          <t>Postdates the 2006 archive.</t>
        </is>
      </c>
    </row>
    <row r="16">
      <c r="A16" s="10" t="inlineStr">
        <is>
          <t>VT-DERRING</t>
        </is>
      </c>
      <c r="B16" s="10" t="inlineStr">
        <is>
          <t>Derring Hall</t>
        </is>
      </c>
      <c r="C16" s="10" t="inlineStr">
        <is>
          <t>155</t>
        </is>
      </c>
      <c r="D16" s="10" t="inlineStr">
        <is>
          <t>DER</t>
        </is>
      </c>
      <c r="E16" s="11" t="n">
        <v>37.22908</v>
      </c>
      <c r="F16" s="11" t="n">
        <v>-80.4256</v>
      </c>
      <c r="G16" s="10" t="inlineStr">
        <is>
          <t>926 West Campus Drive</t>
        </is>
      </c>
      <c r="H16" s="10" t="inlineStr">
        <is>
          <t>G-3</t>
        </is>
      </c>
      <c r="I16" s="10" t="inlineStr">
        <is>
          <t>1969</t>
        </is>
      </c>
      <c r="J16" s="10" t="inlineStr">
        <is>
          <t>point_centroid</t>
        </is>
      </c>
      <c r="K16" s="10" t="inlineStr">
        <is>
          <t>vt.edu/about/locations/buildings/derring-hall.html</t>
        </is>
      </c>
      <c r="L16" s="10" t="inlineStr">
        <is>
          <t>official</t>
        </is>
      </c>
      <c r="M16" s="12" t="inlineStr">
        <is>
          <t>NO</t>
        </is>
      </c>
      <c r="N16" s="10" t="inlineStr"/>
      <c r="O16" s="10" t="inlineStr">
        <is>
          <t>no</t>
        </is>
      </c>
      <c r="P16" s="10">
        <f>IF(OR(L16="official",L16="field_verified"),"CONFIRMED","UNKNOWN")</f>
        <v/>
      </c>
      <c r="Q16" s="10" t="inlineStr">
        <is>
          <t>Listed in the 2006 index but no plan file was mirrored.</t>
        </is>
      </c>
    </row>
    <row r="17">
      <c r="A17" s="10" t="inlineStr">
        <is>
          <t>VT-PAMPLIN</t>
        </is>
      </c>
      <c r="B17" s="10" t="inlineStr">
        <is>
          <t>Pamplin Hall</t>
        </is>
      </c>
      <c r="C17" s="10" t="inlineStr">
        <is>
          <t>153</t>
        </is>
      </c>
      <c r="D17" s="10" t="inlineStr">
        <is>
          <t>PAM</t>
        </is>
      </c>
      <c r="E17" s="11" t="n">
        <v>37.22876</v>
      </c>
      <c r="F17" s="11" t="n">
        <v>-80.42462</v>
      </c>
      <c r="G17" s="10" t="inlineStr">
        <is>
          <t>880 West Campus Drive</t>
        </is>
      </c>
      <c r="H17" s="10" t="inlineStr">
        <is>
          <t>G-4</t>
        </is>
      </c>
      <c r="I17" s="10" t="inlineStr">
        <is>
          <t>1957</t>
        </is>
      </c>
      <c r="J17" s="10" t="inlineStr">
        <is>
          <t>point_centroid</t>
        </is>
      </c>
      <c r="K17" s="10" t="inlineStr">
        <is>
          <t>vt.edu/about/locations/buildings/pamplin-hall.html</t>
        </is>
      </c>
      <c r="L17" s="10" t="inlineStr">
        <is>
          <t>official</t>
        </is>
      </c>
      <c r="M17" s="10" t="inlineStr">
        <is>
          <t>yes</t>
        </is>
      </c>
      <c r="N17" s="10" t="inlineStr">
        <is>
          <t>0153sa00.gif, 0153sa01.gif, 0153sa02.gif, 0153sa03.gif, 0153sa16.gif</t>
        </is>
      </c>
      <c r="O17" s="10" t="inlineStr">
        <is>
          <t>no</t>
        </is>
      </c>
      <c r="P17" s="10">
        <f>IF(OR(L17="official",L17="field_verified"),"CONFIRMED","UNKNOWN")</f>
        <v/>
      </c>
      <c r="Q17" s="10" t="inlineStr"/>
    </row>
  </sheetData>
  <autoFilter ref="A1:Q17"/>
  <dataValidations count="1">
    <dataValidation sqref="L2:L400" showDropDown="0" showInputMessage="0" showErrorMessage="0" allowBlank="1" type="list">
      <formula1>"official,field_verified,community_report,inferred"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3"/>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26" customWidth="1" min="3" max="3"/>
    <col width="36" customWidth="1" min="4" max="4"/>
    <col width="11" customWidth="1" min="5" max="5"/>
    <col width="11" customWidth="1" min="6" max="6"/>
    <col width="19" customWidth="1" min="7" max="7"/>
    <col width="18" customWidth="1" min="8" max="8"/>
    <col width="11" customWidth="1" min="9" max="9"/>
    <col width="10" customWidth="1" min="10" max="10"/>
    <col width="34" customWidth="1" min="11" max="11"/>
    <col width="11" customWidth="1" min="12" max="12"/>
    <col width="13" customWidth="1" min="13" max="13"/>
    <col width="14" customWidth="1" min="14" max="14"/>
    <col width="80" customWidth="1" min="15" max="15"/>
  </cols>
  <sheetData>
    <row r="1">
      <c r="A1" s="6" t="inlineStr">
        <is>
          <t>entrance_id</t>
        </is>
      </c>
      <c r="B1" s="6" t="inlineStr">
        <is>
          <t>building_id</t>
        </is>
      </c>
      <c r="C1" s="6" t="inlineStr">
        <is>
          <t>node_id</t>
        </is>
      </c>
      <c r="D1" s="6" t="inlineStr">
        <is>
          <t>entrance_name</t>
        </is>
      </c>
      <c r="E1" s="6" t="inlineStr">
        <is>
          <t>latitude</t>
        </is>
      </c>
      <c r="F1" s="6" t="inlineStr">
        <is>
          <t>longitude</t>
        </is>
      </c>
      <c r="G1" s="6" t="inlineStr">
        <is>
          <t>accessibility_status</t>
        </is>
      </c>
      <c r="H1" s="6" t="inlineStr">
        <is>
          <t>operational_status</t>
        </is>
      </c>
      <c r="I1" s="6" t="inlineStr">
        <is>
          <t>door_type</t>
        </is>
      </c>
      <c r="J1" s="6" t="inlineStr">
        <is>
          <t>step_count</t>
        </is>
      </c>
      <c r="K1" s="6" t="inlineStr">
        <is>
          <t>geometry_precision</t>
        </is>
      </c>
      <c r="L1" s="6" t="inlineStr">
        <is>
          <t>confidence</t>
        </is>
      </c>
      <c r="M1" s="6" t="inlineStr">
        <is>
          <t>last_verified</t>
        </is>
      </c>
      <c r="N1" s="6" t="inlineStr">
        <is>
          <t>display_tier</t>
        </is>
      </c>
      <c r="O1" s="6" t="inlineStr">
        <is>
          <t>notes</t>
        </is>
      </c>
    </row>
    <row r="2">
      <c r="A2" s="10" t="inlineStr">
        <is>
          <t>VT-GOODWIN-E1</t>
        </is>
      </c>
      <c r="B2" s="10" t="inlineStr">
        <is>
          <t>VT-GOODWIN</t>
        </is>
      </c>
      <c r="C2" s="10" t="inlineStr">
        <is>
          <t>N-GOODWIN-E1</t>
        </is>
      </c>
      <c r="D2" s="10" t="inlineStr">
        <is>
          <t>Perry Street side</t>
        </is>
      </c>
      <c r="E2" s="11" t="n">
        <v>37.232015</v>
      </c>
      <c r="F2" s="11" t="n">
        <v>-80.425258</v>
      </c>
      <c r="G2" s="10" t="inlineStr">
        <is>
          <t>unknown</t>
        </is>
      </c>
      <c r="H2" s="10" t="inlineStr">
        <is>
          <t>unknown</t>
        </is>
      </c>
      <c r="I2" s="10" t="inlineStr">
        <is>
          <t>unknown</t>
        </is>
      </c>
      <c r="J2" s="10" t="inlineStr"/>
      <c r="K2" s="10" t="inlineStr">
        <is>
          <t>placeholder_offset_from_centroid</t>
        </is>
      </c>
      <c r="L2" s="10" t="inlineStr">
        <is>
          <t>inferred</t>
        </is>
      </c>
      <c r="M2" s="10" t="inlineStr"/>
      <c r="N2" s="10">
        <f>IF(OR(L2="official",L2="field_verified"),"CONFIRMED","UNKNOWN")</f>
        <v/>
      </c>
      <c r="O2" s="10" t="inlineStr">
        <is>
          <t>Not surveyed.</t>
        </is>
      </c>
    </row>
    <row r="3">
      <c r="A3" s="10" t="inlineStr">
        <is>
          <t>VT-GOODWIN-E2</t>
        </is>
      </c>
      <c r="B3" s="10" t="inlineStr">
        <is>
          <t>VT-GOODWIN</t>
        </is>
      </c>
      <c r="C3" s="10" t="inlineStr">
        <is>
          <t>N-GOODWIN-E2</t>
        </is>
      </c>
      <c r="D3" s="10" t="inlineStr">
        <is>
          <t>East side / plaza</t>
        </is>
      </c>
      <c r="E3" s="11" t="n">
        <v>37.23237</v>
      </c>
      <c r="F3" s="11" t="n">
        <v>-80.42491200000001</v>
      </c>
      <c r="G3" s="10" t="inlineStr">
        <is>
          <t>unknown</t>
        </is>
      </c>
      <c r="H3" s="10" t="inlineStr">
        <is>
          <t>unknown</t>
        </is>
      </c>
      <c r="I3" s="10" t="inlineStr">
        <is>
          <t>unknown</t>
        </is>
      </c>
      <c r="J3" s="10" t="inlineStr"/>
      <c r="K3" s="10" t="inlineStr">
        <is>
          <t>placeholder_offset_from_centroid</t>
        </is>
      </c>
      <c r="L3" s="10" t="inlineStr">
        <is>
          <t>inferred</t>
        </is>
      </c>
      <c r="M3" s="10" t="inlineStr"/>
      <c r="N3" s="10">
        <f>IF(OR(L3="official",L3="field_verified"),"CONFIRMED","UNKNOWN")</f>
        <v/>
      </c>
      <c r="O3" s="10" t="inlineStr">
        <is>
          <t>Not surveyed.</t>
        </is>
      </c>
    </row>
    <row r="4">
      <c r="A4" s="10" t="inlineStr">
        <is>
          <t>VT-DURHAM-E1</t>
        </is>
      </c>
      <c r="B4" s="10" t="inlineStr">
        <is>
          <t>VT-DURHAM</t>
        </is>
      </c>
      <c r="C4" s="10" t="inlineStr">
        <is>
          <t>N-DURHAM-E1</t>
        </is>
      </c>
      <c r="D4" s="10" t="inlineStr">
        <is>
          <t>Perry Street side</t>
        </is>
      </c>
      <c r="E4" s="11" t="n">
        <v>37.231629</v>
      </c>
      <c r="F4" s="11" t="n">
        <v>-80.42420199999999</v>
      </c>
      <c r="G4" s="10" t="inlineStr">
        <is>
          <t>unknown</t>
        </is>
      </c>
      <c r="H4" s="10" t="inlineStr">
        <is>
          <t>unknown</t>
        </is>
      </c>
      <c r="I4" s="10" t="inlineStr">
        <is>
          <t>unknown</t>
        </is>
      </c>
      <c r="J4" s="10" t="inlineStr"/>
      <c r="K4" s="10" t="inlineStr">
        <is>
          <t>placeholder_offset_from_centroid</t>
        </is>
      </c>
      <c r="L4" s="10" t="inlineStr">
        <is>
          <t>inferred</t>
        </is>
      </c>
      <c r="M4" s="10" t="inlineStr"/>
      <c r="N4" s="10">
        <f>IF(OR(L4="official",L4="field_verified"),"CONFIRMED","UNKNOWN")</f>
        <v/>
      </c>
      <c r="O4" s="10" t="inlineStr">
        <is>
          <t>Not surveyed.</t>
        </is>
      </c>
    </row>
    <row r="5">
      <c r="A5" s="10" t="inlineStr">
        <is>
          <t>VT-DURHAM-E2</t>
        </is>
      </c>
      <c r="B5" s="10" t="inlineStr">
        <is>
          <t>VT-DURHAM</t>
        </is>
      </c>
      <c r="C5" s="10" t="inlineStr">
        <is>
          <t>N-DURHAM-E2</t>
        </is>
      </c>
      <c r="D5" s="10" t="inlineStr">
        <is>
          <t>South side toward Stanger</t>
        </is>
      </c>
      <c r="E5" s="11" t="n">
        <v>37.231416</v>
      </c>
      <c r="F5" s="11" t="n">
        <v>-80.42382000000001</v>
      </c>
      <c r="G5" s="10" t="inlineStr">
        <is>
          <t>unknown</t>
        </is>
      </c>
      <c r="H5" s="10" t="inlineStr">
        <is>
          <t>unknown</t>
        </is>
      </c>
      <c r="I5" s="10" t="inlineStr">
        <is>
          <t>unknown</t>
        </is>
      </c>
      <c r="J5" s="10" t="inlineStr"/>
      <c r="K5" s="10" t="inlineStr">
        <is>
          <t>placeholder_offset_from_centroid</t>
        </is>
      </c>
      <c r="L5" s="10" t="inlineStr">
        <is>
          <t>inferred</t>
        </is>
      </c>
      <c r="M5" s="10" t="inlineStr"/>
      <c r="N5" s="10">
        <f>IF(OR(L5="official",L5="field_verified"),"CONFIRMED","UNKNOWN")</f>
        <v/>
      </c>
      <c r="O5" s="10" t="inlineStr">
        <is>
          <t>Not surveyed.</t>
        </is>
      </c>
    </row>
    <row r="6">
      <c r="A6" s="10" t="inlineStr">
        <is>
          <t>VT-WHITTEMORE-E1</t>
        </is>
      </c>
      <c r="B6" s="10" t="inlineStr">
        <is>
          <t>VT-WHITTEMORE</t>
        </is>
      </c>
      <c r="C6" s="10" t="inlineStr">
        <is>
          <t>N-WHITTEMORE-E1</t>
        </is>
      </c>
      <c r="D6" s="10" t="inlineStr">
        <is>
          <t>North side / Perry Street</t>
        </is>
      </c>
      <c r="E6" s="11" t="n">
        <v>37.231374</v>
      </c>
      <c r="F6" s="11" t="n">
        <v>-80.424311</v>
      </c>
      <c r="G6" s="10" t="inlineStr">
        <is>
          <t>unknown</t>
        </is>
      </c>
      <c r="H6" s="10" t="inlineStr">
        <is>
          <t>unknown</t>
        </is>
      </c>
      <c r="I6" s="10" t="inlineStr">
        <is>
          <t>unknown</t>
        </is>
      </c>
      <c r="J6" s="10" t="inlineStr"/>
      <c r="K6" s="10" t="inlineStr">
        <is>
          <t>placeholder_offset_from_centroid</t>
        </is>
      </c>
      <c r="L6" s="10" t="inlineStr">
        <is>
          <t>inferred</t>
        </is>
      </c>
      <c r="M6" s="10" t="inlineStr"/>
      <c r="N6" s="10">
        <f>IF(OR(L6="official",L6="field_verified"),"CONFIRMED","UNKNOWN")</f>
        <v/>
      </c>
      <c r="O6" s="10" t="inlineStr">
        <is>
          <t>Not surveyed.</t>
        </is>
      </c>
    </row>
    <row r="7">
      <c r="A7" s="10" t="inlineStr">
        <is>
          <t>VT-WHITTEMORE-E2</t>
        </is>
      </c>
      <c r="B7" s="10" t="inlineStr">
        <is>
          <t>VT-WHITTEMORE</t>
        </is>
      </c>
      <c r="C7" s="10" t="inlineStr">
        <is>
          <t>N-WHITTEMORE-E2</t>
        </is>
      </c>
      <c r="D7" s="10" t="inlineStr">
        <is>
          <t>South side toward Hancock</t>
        </is>
      </c>
      <c r="E7" s="11" t="n">
        <v>37.230747</v>
      </c>
      <c r="F7" s="11" t="n">
        <v>-80.424415</v>
      </c>
      <c r="G7" s="10" t="inlineStr">
        <is>
          <t>unknown</t>
        </is>
      </c>
      <c r="H7" s="10" t="inlineStr">
        <is>
          <t>unknown</t>
        </is>
      </c>
      <c r="I7" s="10" t="inlineStr">
        <is>
          <t>unknown</t>
        </is>
      </c>
      <c r="J7" s="10" t="inlineStr"/>
      <c r="K7" s="10" t="inlineStr">
        <is>
          <t>placeholder_offset_from_centroid</t>
        </is>
      </c>
      <c r="L7" s="10" t="inlineStr">
        <is>
          <t>inferred</t>
        </is>
      </c>
      <c r="M7" s="10" t="inlineStr"/>
      <c r="N7" s="10">
        <f>IF(OR(L7="official",L7="field_verified"),"CONFIRMED","UNKNOWN")</f>
        <v/>
      </c>
      <c r="O7" s="10" t="inlineStr">
        <is>
          <t>Not surveyed.</t>
        </is>
      </c>
    </row>
    <row r="8">
      <c r="A8" s="10" t="inlineStr">
        <is>
          <t>VT-MCBRYDE-EN</t>
        </is>
      </c>
      <c r="B8" s="10" t="inlineStr">
        <is>
          <t>VT-MCBRYDE</t>
        </is>
      </c>
      <c r="C8" s="10" t="inlineStr">
        <is>
          <t>N-MCBRYDE-EN</t>
        </is>
      </c>
      <c r="D8" s="10" t="inlineStr">
        <is>
          <t>North entrance</t>
        </is>
      </c>
      <c r="E8" s="11" t="n">
        <v>37.23098</v>
      </c>
      <c r="F8" s="11" t="n">
        <v>-80.42178</v>
      </c>
      <c r="G8" s="10" t="inlineStr">
        <is>
          <t>unknown</t>
        </is>
      </c>
      <c r="H8" s="10" t="inlineStr">
        <is>
          <t>unknown</t>
        </is>
      </c>
      <c r="I8" s="10" t="inlineStr">
        <is>
          <t>unknown</t>
        </is>
      </c>
      <c r="J8" s="10" t="inlineStr"/>
      <c r="K8" s="10" t="inlineStr">
        <is>
          <t>placeholder_offset_from_centroid</t>
        </is>
      </c>
      <c r="L8" s="10" t="inlineStr">
        <is>
          <t>inferred</t>
        </is>
      </c>
      <c r="M8" s="10" t="inlineStr"/>
      <c r="N8" s="10">
        <f>IF(OR(L8="official",L8="field_verified"),"CONFIRMED","UNKNOWN")</f>
        <v/>
      </c>
      <c r="O8" s="10" t="inlineStr">
        <is>
          <t>VT states McBryde's entrances face due N/S/E/W.</t>
        </is>
      </c>
    </row>
    <row r="9">
      <c r="A9" s="10" t="inlineStr">
        <is>
          <t>VT-MCBRYDE-ES</t>
        </is>
      </c>
      <c r="B9" s="10" t="inlineStr">
        <is>
          <t>VT-MCBRYDE</t>
        </is>
      </c>
      <c r="C9" s="10" t="inlineStr">
        <is>
          <t>N-MCBRYDE-ES</t>
        </is>
      </c>
      <c r="D9" s="10" t="inlineStr">
        <is>
          <t>South entrance</t>
        </is>
      </c>
      <c r="E9" s="11" t="n">
        <v>37.23026</v>
      </c>
      <c r="F9" s="11" t="n">
        <v>-80.42178</v>
      </c>
      <c r="G9" s="10" t="inlineStr">
        <is>
          <t>unknown</t>
        </is>
      </c>
      <c r="H9" s="10" t="inlineStr">
        <is>
          <t>unknown</t>
        </is>
      </c>
      <c r="I9" s="10" t="inlineStr">
        <is>
          <t>unknown</t>
        </is>
      </c>
      <c r="J9" s="10" t="inlineStr"/>
      <c r="K9" s="10" t="inlineStr">
        <is>
          <t>placeholder_offset_from_centroid</t>
        </is>
      </c>
      <c r="L9" s="10" t="inlineStr">
        <is>
          <t>inferred</t>
        </is>
      </c>
      <c r="M9" s="10" t="inlineStr"/>
      <c r="N9" s="10">
        <f>IF(OR(L9="official",L9="field_verified"),"CONFIRMED","UNKNOWN")</f>
        <v/>
      </c>
      <c r="O9" s="10" t="inlineStr">
        <is>
          <t>VT states McBryde's entrances face due N/S/E/W.</t>
        </is>
      </c>
    </row>
    <row r="10">
      <c r="A10" s="10" t="inlineStr">
        <is>
          <t>VT-MCBRYDE-EW</t>
        </is>
      </c>
      <c r="B10" s="10" t="inlineStr">
        <is>
          <t>VT-MCBRYDE</t>
        </is>
      </c>
      <c r="C10" s="10" t="inlineStr">
        <is>
          <t>N-MCBRYDE-EW</t>
        </is>
      </c>
      <c r="D10" s="10" t="inlineStr">
        <is>
          <t>West entrance</t>
        </is>
      </c>
      <c r="E10" s="11" t="n">
        <v>37.23062</v>
      </c>
      <c r="F10" s="11" t="n">
        <v>-80.42223199999999</v>
      </c>
      <c r="G10" s="10" t="inlineStr">
        <is>
          <t>unknown</t>
        </is>
      </c>
      <c r="H10" s="10" t="inlineStr">
        <is>
          <t>unknown</t>
        </is>
      </c>
      <c r="I10" s="10" t="inlineStr">
        <is>
          <t>unknown</t>
        </is>
      </c>
      <c r="J10" s="10" t="inlineStr"/>
      <c r="K10" s="10" t="inlineStr">
        <is>
          <t>placeholder_offset_from_centroid</t>
        </is>
      </c>
      <c r="L10" s="10" t="inlineStr">
        <is>
          <t>inferred</t>
        </is>
      </c>
      <c r="M10" s="10" t="inlineStr"/>
      <c r="N10" s="10">
        <f>IF(OR(L10="official",L10="field_verified"),"CONFIRMED","UNKNOWN")</f>
        <v/>
      </c>
      <c r="O10" s="10" t="inlineStr">
        <is>
          <t>VT states McBryde's entrances face due N/S/E/W.</t>
        </is>
      </c>
    </row>
    <row r="11">
      <c r="A11" s="10" t="inlineStr">
        <is>
          <t>VT-HANCOCK-E1</t>
        </is>
      </c>
      <c r="B11" s="10" t="inlineStr">
        <is>
          <t>VT-HANCOCK</t>
        </is>
      </c>
      <c r="C11" s="10" t="inlineStr">
        <is>
          <t>N-HANCOCK-E1</t>
        </is>
      </c>
      <c r="D11" s="10" t="inlineStr">
        <is>
          <t>Old Turner Street side</t>
        </is>
      </c>
      <c r="E11" s="11" t="n">
        <v>37.230135</v>
      </c>
      <c r="F11" s="11" t="n">
        <v>-80.42462999999999</v>
      </c>
      <c r="G11" s="10" t="inlineStr">
        <is>
          <t>unknown</t>
        </is>
      </c>
      <c r="H11" s="10" t="inlineStr">
        <is>
          <t>unknown</t>
        </is>
      </c>
      <c r="I11" s="10" t="inlineStr">
        <is>
          <t>unknown</t>
        </is>
      </c>
      <c r="J11" s="10" t="inlineStr"/>
      <c r="K11" s="10" t="inlineStr">
        <is>
          <t>placeholder_offset_from_centroid</t>
        </is>
      </c>
      <c r="L11" s="10" t="inlineStr">
        <is>
          <t>inferred</t>
        </is>
      </c>
      <c r="M11" s="10" t="inlineStr"/>
      <c r="N11" s="10">
        <f>IF(OR(L11="official",L11="field_verified"),"CONFIRMED","UNKNOWN")</f>
        <v/>
      </c>
      <c r="O11" s="10" t="inlineStr">
        <is>
          <t>Not surveyed.</t>
        </is>
      </c>
    </row>
    <row r="12">
      <c r="A12" s="10" t="inlineStr">
        <is>
          <t>VT-HANCOCK-E2</t>
        </is>
      </c>
      <c r="B12" s="10" t="inlineStr">
        <is>
          <t>VT-HANCOCK</t>
        </is>
      </c>
      <c r="C12" s="10" t="inlineStr">
        <is>
          <t>N-HANCOCK-E2</t>
        </is>
      </c>
      <c r="D12" s="10" t="inlineStr">
        <is>
          <t>East side toward Drillfield</t>
        </is>
      </c>
      <c r="E12" s="11" t="n">
        <v>37.230185</v>
      </c>
      <c r="F12" s="11" t="n">
        <v>-80.42391000000001</v>
      </c>
      <c r="G12" s="10" t="inlineStr">
        <is>
          <t>unknown</t>
        </is>
      </c>
      <c r="H12" s="10" t="inlineStr">
        <is>
          <t>unknown</t>
        </is>
      </c>
      <c r="I12" s="10" t="inlineStr">
        <is>
          <t>unknown</t>
        </is>
      </c>
      <c r="J12" s="10" t="inlineStr"/>
      <c r="K12" s="10" t="inlineStr">
        <is>
          <t>placeholder_offset_from_centroid</t>
        </is>
      </c>
      <c r="L12" s="10" t="inlineStr">
        <is>
          <t>inferred</t>
        </is>
      </c>
      <c r="M12" s="10" t="inlineStr"/>
      <c r="N12" s="10">
        <f>IF(OR(L12="official",L12="field_verified"),"CONFIRMED","UNKNOWN")</f>
        <v/>
      </c>
      <c r="O12" s="10" t="inlineStr">
        <is>
          <t>Not surveyed.</t>
        </is>
      </c>
    </row>
    <row r="13">
      <c r="A13" s="10" t="inlineStr">
        <is>
          <t>VT-TORGERSEN-E1</t>
        </is>
      </c>
      <c r="B13" s="10" t="inlineStr">
        <is>
          <t>VT-TORGERSEN</t>
        </is>
      </c>
      <c r="C13" s="10" t="inlineStr">
        <is>
          <t>N-TORGERSEN-E1</t>
        </is>
      </c>
      <c r="D13" s="10" t="inlineStr">
        <is>
          <t>Alumni Mall / south side</t>
        </is>
      </c>
      <c r="E13" s="11" t="n">
        <v>37.229456</v>
      </c>
      <c r="F13" s="11" t="n">
        <v>-80.41997000000001</v>
      </c>
      <c r="G13" s="10" t="inlineStr">
        <is>
          <t>unknown</t>
        </is>
      </c>
      <c r="H13" s="10" t="inlineStr">
        <is>
          <t>unknown</t>
        </is>
      </c>
      <c r="I13" s="10" t="inlineStr">
        <is>
          <t>unknown</t>
        </is>
      </c>
      <c r="J13" s="10" t="inlineStr"/>
      <c r="K13" s="10" t="inlineStr">
        <is>
          <t>placeholder_offset_from_centroid</t>
        </is>
      </c>
      <c r="L13" s="10" t="inlineStr">
        <is>
          <t>inferred</t>
        </is>
      </c>
      <c r="M13" s="10" t="inlineStr"/>
      <c r="N13" s="10">
        <f>IF(OR(L13="official",L13="field_verified"),"CONFIRMED","UNKNOWN")</f>
        <v/>
      </c>
      <c r="O13" s="10" t="inlineStr">
        <is>
          <t>Not surveyed.</t>
        </is>
      </c>
    </row>
    <row r="14">
      <c r="A14" s="10" t="inlineStr">
        <is>
          <t>VT-TORGERSEN-E2</t>
        </is>
      </c>
      <c r="B14" s="10" t="inlineStr">
        <is>
          <t>VT-TORGERSEN</t>
        </is>
      </c>
      <c r="C14" s="10" t="inlineStr">
        <is>
          <t>N-TORGERSEN-E2</t>
        </is>
      </c>
      <c r="D14" s="10" t="inlineStr">
        <is>
          <t>North side</t>
        </is>
      </c>
      <c r="E14" s="11" t="n">
        <v>37.230104</v>
      </c>
      <c r="F14" s="11" t="n">
        <v>-80.41997000000001</v>
      </c>
      <c r="G14" s="10" t="inlineStr">
        <is>
          <t>unknown</t>
        </is>
      </c>
      <c r="H14" s="10" t="inlineStr">
        <is>
          <t>unknown</t>
        </is>
      </c>
      <c r="I14" s="10" t="inlineStr">
        <is>
          <t>unknown</t>
        </is>
      </c>
      <c r="J14" s="10" t="inlineStr"/>
      <c r="K14" s="10" t="inlineStr">
        <is>
          <t>placeholder_offset_from_centroid</t>
        </is>
      </c>
      <c r="L14" s="10" t="inlineStr">
        <is>
          <t>inferred</t>
        </is>
      </c>
      <c r="M14" s="10" t="inlineStr"/>
      <c r="N14" s="10">
        <f>IF(OR(L14="official",L14="field_verified"),"CONFIRMED","UNKNOWN")</f>
        <v/>
      </c>
      <c r="O14" s="10" t="inlineStr">
        <is>
          <t>Not surveyed.</t>
        </is>
      </c>
    </row>
    <row r="15">
      <c r="A15" s="10" t="inlineStr">
        <is>
          <t>VT-BURRUSS-E1</t>
        </is>
      </c>
      <c r="B15" s="10" t="inlineStr">
        <is>
          <t>VT-BURRUSS</t>
        </is>
      </c>
      <c r="C15" s="10" t="inlineStr">
        <is>
          <t>N-BURRUSS-E1</t>
        </is>
      </c>
      <c r="D15" s="10" t="inlineStr">
        <is>
          <t>Drillfield (east) front</t>
        </is>
      </c>
      <c r="E15" s="11" t="n">
        <v>37.228928</v>
      </c>
      <c r="F15" s="11" t="n">
        <v>-80.423198</v>
      </c>
      <c r="G15" s="12" t="inlineStr">
        <is>
          <t>stairs</t>
        </is>
      </c>
      <c r="H15" s="10" t="inlineStr">
        <is>
          <t>unknown</t>
        </is>
      </c>
      <c r="I15" s="10" t="inlineStr">
        <is>
          <t>unknown</t>
        </is>
      </c>
      <c r="J15" s="10" t="inlineStr"/>
      <c r="K15" s="10" t="inlineStr">
        <is>
          <t>placeholder_offset_from_centroid</t>
        </is>
      </c>
      <c r="L15" s="10" t="inlineStr">
        <is>
          <t>inferred</t>
        </is>
      </c>
      <c r="M15" s="10" t="inlineStr"/>
      <c r="N15" s="10">
        <f>IF(OR(L15="official",L15="field_verified"),"CONFIRMED","UNKNOWN")</f>
        <v/>
      </c>
      <c r="O15" s="10" t="inlineStr">
        <is>
          <t>Drillfield front is approached by a broad flight of steps. Step count NOT counted. An accessible alternative is believed to exist but is NOT located. Never route a step-free trip on this row.</t>
        </is>
      </c>
    </row>
    <row r="16">
      <c r="A16" s="10" t="inlineStr">
        <is>
          <t>VT-BURRUSS-E2</t>
        </is>
      </c>
      <c r="B16" s="10" t="inlineStr">
        <is>
          <t>VT-BURRUSS</t>
        </is>
      </c>
      <c r="C16" s="10" t="inlineStr">
        <is>
          <t>N-BURRUSS-E2</t>
        </is>
      </c>
      <c r="D16" s="10" t="inlineStr">
        <is>
          <t>North side</t>
        </is>
      </c>
      <c r="E16" s="11" t="n">
        <v>37.229354</v>
      </c>
      <c r="F16" s="11" t="n">
        <v>-80.423632</v>
      </c>
      <c r="G16" s="10" t="inlineStr">
        <is>
          <t>unknown</t>
        </is>
      </c>
      <c r="H16" s="10" t="inlineStr">
        <is>
          <t>unknown</t>
        </is>
      </c>
      <c r="I16" s="10" t="inlineStr">
        <is>
          <t>unknown</t>
        </is>
      </c>
      <c r="J16" s="10" t="inlineStr"/>
      <c r="K16" s="10" t="inlineStr">
        <is>
          <t>placeholder_offset_from_centroid</t>
        </is>
      </c>
      <c r="L16" s="10" t="inlineStr">
        <is>
          <t>inferred</t>
        </is>
      </c>
      <c r="M16" s="10" t="inlineStr"/>
      <c r="N16" s="10">
        <f>IF(OR(L16="official",L16="field_verified"),"CONFIRMED","UNKNOWN")</f>
        <v/>
      </c>
      <c r="O16" s="10" t="inlineStr">
        <is>
          <t>Candidate step-free entrance - UNVERIFIED. Survey this one first.</t>
        </is>
      </c>
    </row>
    <row r="17">
      <c r="A17" s="10" t="inlineStr">
        <is>
          <t>VT-NEWMAN-LIB-E1</t>
        </is>
      </c>
      <c r="B17" s="10" t="inlineStr">
        <is>
          <t>VT-NEWMAN-LIB</t>
        </is>
      </c>
      <c r="C17" s="10" t="inlineStr">
        <is>
          <t>N-NEWMAN-LIB-E1</t>
        </is>
      </c>
      <c r="D17" s="10" t="inlineStr">
        <is>
          <t>Drillfield (west) side</t>
        </is>
      </c>
      <c r="E17" s="11" t="n">
        <v>37.228704</v>
      </c>
      <c r="F17" s="11" t="n">
        <v>-80.41964</v>
      </c>
      <c r="G17" s="10" t="inlineStr">
        <is>
          <t>unknown</t>
        </is>
      </c>
      <c r="H17" s="10" t="inlineStr">
        <is>
          <t>unknown</t>
        </is>
      </c>
      <c r="I17" s="10" t="inlineStr">
        <is>
          <t>unknown</t>
        </is>
      </c>
      <c r="J17" s="10" t="inlineStr"/>
      <c r="K17" s="10" t="inlineStr">
        <is>
          <t>placeholder_offset_from_centroid</t>
        </is>
      </c>
      <c r="L17" s="10" t="inlineStr">
        <is>
          <t>inferred</t>
        </is>
      </c>
      <c r="M17" s="10" t="inlineStr"/>
      <c r="N17" s="10">
        <f>IF(OR(L17="official",L17="field_verified"),"CONFIRMED","UNKNOWN")</f>
        <v/>
      </c>
      <c r="O17" s="10" t="inlineStr">
        <is>
          <t>Not surveyed.</t>
        </is>
      </c>
    </row>
    <row r="18">
      <c r="A18" s="10" t="inlineStr">
        <is>
          <t>VT-NEWMAN-LIB-E2</t>
        </is>
      </c>
      <c r="B18" s="10" t="inlineStr">
        <is>
          <t>VT-NEWMAN-LIB</t>
        </is>
      </c>
      <c r="C18" s="10" t="inlineStr">
        <is>
          <t>N-NEWMAN-LIB-E2</t>
        </is>
      </c>
      <c r="D18" s="10" t="inlineStr">
        <is>
          <t>Alumni Mall / north side</t>
        </is>
      </c>
      <c r="E18" s="11" t="n">
        <v>37.229079</v>
      </c>
      <c r="F18" s="11" t="n">
        <v>-80.419169</v>
      </c>
      <c r="G18" s="10" t="inlineStr">
        <is>
          <t>unknown</t>
        </is>
      </c>
      <c r="H18" s="10" t="inlineStr">
        <is>
          <t>unknown</t>
        </is>
      </c>
      <c r="I18" s="10" t="inlineStr">
        <is>
          <t>unknown</t>
        </is>
      </c>
      <c r="J18" s="10" t="inlineStr"/>
      <c r="K18" s="10" t="inlineStr">
        <is>
          <t>placeholder_offset_from_centroid</t>
        </is>
      </c>
      <c r="L18" s="10" t="inlineStr">
        <is>
          <t>inferred</t>
        </is>
      </c>
      <c r="M18" s="10" t="inlineStr"/>
      <c r="N18" s="10">
        <f>IF(OR(L18="official",L18="field_verified"),"CONFIRMED","UNKNOWN")</f>
        <v/>
      </c>
      <c r="O18" s="10" t="inlineStr">
        <is>
          <t>Not surveyed.</t>
        </is>
      </c>
    </row>
    <row r="19">
      <c r="A19" s="10" t="inlineStr">
        <is>
          <t>VT-SQUIRES-E1</t>
        </is>
      </c>
      <c r="B19" s="10" t="inlineStr">
        <is>
          <t>VT-SQUIRES</t>
        </is>
      </c>
      <c r="C19" s="10" t="inlineStr">
        <is>
          <t>N-SQUIRES-E1</t>
        </is>
      </c>
      <c r="D19" s="10" t="inlineStr">
        <is>
          <t>Alumni Mall / west side</t>
        </is>
      </c>
      <c r="E19" s="11" t="n">
        <v>37.22962</v>
      </c>
      <c r="F19" s="11" t="n">
        <v>-80.41848</v>
      </c>
      <c r="G19" s="10" t="inlineStr">
        <is>
          <t>unknown</t>
        </is>
      </c>
      <c r="H19" s="10" t="inlineStr">
        <is>
          <t>unknown</t>
        </is>
      </c>
      <c r="I19" s="10" t="inlineStr">
        <is>
          <t>unknown</t>
        </is>
      </c>
      <c r="J19" s="10" t="inlineStr"/>
      <c r="K19" s="10" t="inlineStr">
        <is>
          <t>placeholder_offset_from_centroid</t>
        </is>
      </c>
      <c r="L19" s="10" t="inlineStr">
        <is>
          <t>inferred</t>
        </is>
      </c>
      <c r="M19" s="10" t="inlineStr"/>
      <c r="N19" s="10">
        <f>IF(OR(L19="official",L19="field_verified"),"CONFIRMED","UNKNOWN")</f>
        <v/>
      </c>
      <c r="O19" s="10" t="inlineStr">
        <is>
          <t>Not surveyed.</t>
        </is>
      </c>
    </row>
    <row r="20">
      <c r="A20" s="10" t="inlineStr">
        <is>
          <t>VT-SQUIRES-E2</t>
        </is>
      </c>
      <c r="B20" s="10" t="inlineStr">
        <is>
          <t>VT-SQUIRES</t>
        </is>
      </c>
      <c r="C20" s="10" t="inlineStr">
        <is>
          <t>N-SQUIRES-E2</t>
        </is>
      </c>
      <c r="D20" s="10" t="inlineStr">
        <is>
          <t>College Avenue side</t>
        </is>
      </c>
      <c r="E20" s="11" t="n">
        <v>37.22998</v>
      </c>
      <c r="F20" s="11" t="n">
        <v>-80.41795999999999</v>
      </c>
      <c r="G20" s="10" t="inlineStr">
        <is>
          <t>unknown</t>
        </is>
      </c>
      <c r="H20" s="10" t="inlineStr">
        <is>
          <t>unknown</t>
        </is>
      </c>
      <c r="I20" s="10" t="inlineStr">
        <is>
          <t>unknown</t>
        </is>
      </c>
      <c r="J20" s="10" t="inlineStr"/>
      <c r="K20" s="10" t="inlineStr">
        <is>
          <t>placeholder_offset_from_centroid</t>
        </is>
      </c>
      <c r="L20" s="10" t="inlineStr">
        <is>
          <t>inferred</t>
        </is>
      </c>
      <c r="M20" s="10" t="inlineStr"/>
      <c r="N20" s="10">
        <f>IF(OR(L20="official",L20="field_verified"),"CONFIRMED","UNKNOWN")</f>
        <v/>
      </c>
      <c r="O20" s="10" t="inlineStr">
        <is>
          <t>Not surveyed.</t>
        </is>
      </c>
    </row>
    <row r="21">
      <c r="A21" s="10" t="inlineStr">
        <is>
          <t>VT-DDS-E1</t>
        </is>
      </c>
      <c r="B21" s="10" t="inlineStr">
        <is>
          <t>VT-DDS</t>
        </is>
      </c>
      <c r="C21" s="10" t="inlineStr">
        <is>
          <t>N-DDS-E1</t>
        </is>
      </c>
      <c r="D21" s="10" t="inlineStr">
        <is>
          <t>Prices Fork Road side</t>
        </is>
      </c>
      <c r="E21" s="11" t="n">
        <v>37.232198</v>
      </c>
      <c r="F21" s="11" t="n">
        <v>-80.426785</v>
      </c>
      <c r="G21" s="10" t="inlineStr">
        <is>
          <t>unknown</t>
        </is>
      </c>
      <c r="H21" s="10" t="inlineStr">
        <is>
          <t>unknown</t>
        </is>
      </c>
      <c r="I21" s="10" t="inlineStr">
        <is>
          <t>unknown</t>
        </is>
      </c>
      <c r="J21" s="10" t="inlineStr"/>
      <c r="K21" s="10" t="inlineStr">
        <is>
          <t>placeholder_offset_from_centroid</t>
        </is>
      </c>
      <c r="L21" s="10" t="inlineStr">
        <is>
          <t>inferred</t>
        </is>
      </c>
      <c r="M21" s="10" t="inlineStr"/>
      <c r="N21" s="10">
        <f>IF(OR(L21="official",L21="field_verified"),"CONFIRMED","UNKNOWN")</f>
        <v/>
      </c>
      <c r="O21" s="10" t="inlineStr">
        <is>
          <t>2023 build. VT states new construction is ADA-compliant, but WHICH door is step-free is not stated.</t>
        </is>
      </c>
    </row>
    <row r="22">
      <c r="A22" s="10" t="inlineStr">
        <is>
          <t>VT-DDS-E2</t>
        </is>
      </c>
      <c r="B22" s="10" t="inlineStr">
        <is>
          <t>VT-DDS</t>
        </is>
      </c>
      <c r="C22" s="10" t="inlineStr">
        <is>
          <t>N-DDS-E2</t>
        </is>
      </c>
      <c r="D22" s="10" t="inlineStr">
        <is>
          <t>East side toward Goodwin</t>
        </is>
      </c>
      <c r="E22" s="11" t="n">
        <v>37.231798</v>
      </c>
      <c r="F22" s="11" t="n">
        <v>-80.426495</v>
      </c>
      <c r="G22" s="10" t="inlineStr">
        <is>
          <t>unknown</t>
        </is>
      </c>
      <c r="H22" s="10" t="inlineStr">
        <is>
          <t>unknown</t>
        </is>
      </c>
      <c r="I22" s="10" t="inlineStr">
        <is>
          <t>unknown</t>
        </is>
      </c>
      <c r="J22" s="10" t="inlineStr"/>
      <c r="K22" s="10" t="inlineStr">
        <is>
          <t>placeholder_offset_from_centroid</t>
        </is>
      </c>
      <c r="L22" s="10" t="inlineStr">
        <is>
          <t>inferred</t>
        </is>
      </c>
      <c r="M22" s="10" t="inlineStr"/>
      <c r="N22" s="10">
        <f>IF(OR(L22="official",L22="field_verified"),"CONFIRMED","UNKNOWN")</f>
        <v/>
      </c>
      <c r="O22" s="10" t="inlineStr">
        <is>
          <t>Not surveyed.</t>
        </is>
      </c>
    </row>
    <row r="23">
      <c r="A23" s="10" t="inlineStr">
        <is>
          <t>VT-KELLY-E1</t>
        </is>
      </c>
      <c r="B23" s="10" t="inlineStr">
        <is>
          <t>VT-KELLY</t>
        </is>
      </c>
      <c r="C23" s="10" t="inlineStr">
        <is>
          <t>N-KELLY-E1</t>
        </is>
      </c>
      <c r="D23" s="10" t="inlineStr">
        <is>
          <t>Stanger Street side</t>
        </is>
      </c>
      <c r="E23" s="11" t="n">
        <v>37.230936</v>
      </c>
      <c r="F23" s="11" t="n">
        <v>-80.422127</v>
      </c>
      <c r="G23" s="10" t="inlineStr">
        <is>
          <t>unknown</t>
        </is>
      </c>
      <c r="H23" s="10" t="inlineStr">
        <is>
          <t>unknown</t>
        </is>
      </c>
      <c r="I23" s="10" t="inlineStr">
        <is>
          <t>unknown</t>
        </is>
      </c>
      <c r="J23" s="10" t="inlineStr"/>
      <c r="K23" s="10" t="inlineStr">
        <is>
          <t>placeholder_offset_from_centroid</t>
        </is>
      </c>
      <c r="L23" s="10" t="inlineStr">
        <is>
          <t>inferred</t>
        </is>
      </c>
      <c r="M23" s="10" t="inlineStr"/>
      <c r="N23" s="10">
        <f>IF(OR(L23="official",L23="field_verified"),"CONFIRMED","UNKNOWN")</f>
        <v/>
      </c>
      <c r="O23" s="10" t="inlineStr">
        <is>
          <t>Not surveyed.</t>
        </is>
      </c>
    </row>
    <row r="24">
      <c r="A24" s="10" t="inlineStr">
        <is>
          <t>VT-KELLY-E2</t>
        </is>
      </c>
      <c r="B24" s="10" t="inlineStr">
        <is>
          <t>VT-KELLY</t>
        </is>
      </c>
      <c r="C24" s="10" t="inlineStr">
        <is>
          <t>N-KELLY-E2</t>
        </is>
      </c>
      <c r="D24" s="10" t="inlineStr">
        <is>
          <t>West side</t>
        </is>
      </c>
      <c r="E24" s="11" t="n">
        <v>37.23103</v>
      </c>
      <c r="F24" s="11" t="n">
        <v>-80.42279600000001</v>
      </c>
      <c r="G24" s="10" t="inlineStr">
        <is>
          <t>unknown</t>
        </is>
      </c>
      <c r="H24" s="10" t="inlineStr">
        <is>
          <t>unknown</t>
        </is>
      </c>
      <c r="I24" s="10" t="inlineStr">
        <is>
          <t>unknown</t>
        </is>
      </c>
      <c r="J24" s="10" t="inlineStr"/>
      <c r="K24" s="10" t="inlineStr">
        <is>
          <t>placeholder_offset_from_centroid</t>
        </is>
      </c>
      <c r="L24" s="10" t="inlineStr">
        <is>
          <t>inferred</t>
        </is>
      </c>
      <c r="M24" s="10" t="inlineStr"/>
      <c r="N24" s="10">
        <f>IF(OR(L24="official",L24="field_verified"),"CONFIRMED","UNKNOWN")</f>
        <v/>
      </c>
      <c r="O24" s="10" t="inlineStr">
        <is>
          <t>Not surveyed.</t>
        </is>
      </c>
    </row>
    <row r="25">
      <c r="A25" s="10" t="inlineStr">
        <is>
          <t>VT-CFA-E1</t>
        </is>
      </c>
      <c r="B25" s="10" t="inlineStr">
        <is>
          <t>VT-CFA</t>
        </is>
      </c>
      <c r="C25" s="10" t="inlineStr">
        <is>
          <t>N-CFA-E1</t>
        </is>
      </c>
      <c r="D25" s="10" t="inlineStr">
        <is>
          <t>Alumni Mall side</t>
        </is>
      </c>
      <c r="E25" s="11" t="n">
        <v>37.231985</v>
      </c>
      <c r="F25" s="11" t="n">
        <v>-80.417812</v>
      </c>
      <c r="G25" s="10" t="inlineStr">
        <is>
          <t>unknown</t>
        </is>
      </c>
      <c r="H25" s="10" t="inlineStr">
        <is>
          <t>unknown</t>
        </is>
      </c>
      <c r="I25" s="10" t="inlineStr">
        <is>
          <t>unknown</t>
        </is>
      </c>
      <c r="J25" s="10" t="inlineStr"/>
      <c r="K25" s="10" t="inlineStr">
        <is>
          <t>placeholder_offset_from_centroid</t>
        </is>
      </c>
      <c r="L25" s="10" t="inlineStr">
        <is>
          <t>inferred</t>
        </is>
      </c>
      <c r="M25" s="10" t="inlineStr"/>
      <c r="N25" s="10">
        <f>IF(OR(L25="official",L25="field_verified"),"CONFIRMED","UNKNOWN")</f>
        <v/>
      </c>
      <c r="O25" s="10" t="inlineStr">
        <is>
          <t>Not surveyed.</t>
        </is>
      </c>
    </row>
    <row r="26">
      <c r="A26" s="10" t="inlineStr">
        <is>
          <t>VT-CFA-E2</t>
        </is>
      </c>
      <c r="B26" s="10" t="inlineStr">
        <is>
          <t>VT-CFA</t>
        </is>
      </c>
      <c r="C26" s="10" t="inlineStr">
        <is>
          <t>N-CFA-E2</t>
        </is>
      </c>
      <c r="D26" s="10" t="inlineStr">
        <is>
          <t>Main Street side</t>
        </is>
      </c>
      <c r="E26" s="11" t="n">
        <v>37.23234</v>
      </c>
      <c r="F26" s="11" t="n">
        <v>-80.417176</v>
      </c>
      <c r="G26" s="10" t="inlineStr">
        <is>
          <t>unknown</t>
        </is>
      </c>
      <c r="H26" s="10" t="inlineStr">
        <is>
          <t>unknown</t>
        </is>
      </c>
      <c r="I26" s="10" t="inlineStr">
        <is>
          <t>unknown</t>
        </is>
      </c>
      <c r="J26" s="10" t="inlineStr"/>
      <c r="K26" s="10" t="inlineStr">
        <is>
          <t>placeholder_offset_from_centroid</t>
        </is>
      </c>
      <c r="L26" s="10" t="inlineStr">
        <is>
          <t>inferred</t>
        </is>
      </c>
      <c r="M26" s="10" t="inlineStr"/>
      <c r="N26" s="10">
        <f>IF(OR(L26="official",L26="field_verified"),"CONFIRMED","UNKNOWN")</f>
        <v/>
      </c>
      <c r="O26" s="10" t="inlineStr">
        <is>
          <t>Not surveyed.</t>
        </is>
      </c>
    </row>
    <row r="27">
      <c r="A27" s="10" t="inlineStr">
        <is>
          <t>VT-HITT-E1</t>
        </is>
      </c>
      <c r="B27" s="10" t="inlineStr">
        <is>
          <t>VT-HITT</t>
        </is>
      </c>
      <c r="C27" s="10" t="inlineStr">
        <is>
          <t>N-HITT-E1</t>
        </is>
      </c>
      <c r="D27" s="10" t="inlineStr">
        <is>
          <t>Innovation Plaza / West Campus Drive</t>
        </is>
      </c>
      <c r="E27" s="11" t="n">
        <v>37.231046</v>
      </c>
      <c r="F27" s="11" t="n">
        <v>-80.427678</v>
      </c>
      <c r="G27" s="10" t="inlineStr">
        <is>
          <t>unknown</t>
        </is>
      </c>
      <c r="H27" s="10" t="inlineStr">
        <is>
          <t>unknown</t>
        </is>
      </c>
      <c r="I27" s="10" t="inlineStr">
        <is>
          <t>unknown</t>
        </is>
      </c>
      <c r="J27" s="10" t="inlineStr"/>
      <c r="K27" s="10" t="inlineStr">
        <is>
          <t>placeholder_offset_from_centroid</t>
        </is>
      </c>
      <c r="L27" s="10" t="inlineStr">
        <is>
          <t>inferred</t>
        </is>
      </c>
      <c r="M27" s="10" t="inlineStr"/>
      <c r="N27" s="10">
        <f>IF(OR(L27="official",L27="field_verified"),"CONFIRMED","UNKNOWN")</f>
        <v/>
      </c>
      <c r="O27" s="10" t="inlineStr">
        <is>
          <t>2024 build. VT Facilities states Hitt's classrooms, collaboration spaces and restrooms are ADA-compliant. That is a design statement, NOT a surveyed entrance.</t>
        </is>
      </c>
    </row>
    <row r="28">
      <c r="A28" s="10" t="inlineStr">
        <is>
          <t>VT-HITT-E2</t>
        </is>
      </c>
      <c r="B28" s="10" t="inlineStr">
        <is>
          <t>VT-HITT</t>
        </is>
      </c>
      <c r="C28" s="10" t="inlineStr">
        <is>
          <t>N-HITT-E2</t>
        </is>
      </c>
      <c r="D28" s="10" t="inlineStr">
        <is>
          <t>Perry Street side</t>
        </is>
      </c>
      <c r="E28" s="11" t="n">
        <v>37.231462</v>
      </c>
      <c r="F28" s="11" t="n">
        <v>-80.427155</v>
      </c>
      <c r="G28" s="10" t="inlineStr">
        <is>
          <t>unknown</t>
        </is>
      </c>
      <c r="H28" s="10" t="inlineStr">
        <is>
          <t>unknown</t>
        </is>
      </c>
      <c r="I28" s="10" t="inlineStr">
        <is>
          <t>unknown</t>
        </is>
      </c>
      <c r="J28" s="10" t="inlineStr"/>
      <c r="K28" s="10" t="inlineStr">
        <is>
          <t>placeholder_offset_from_centroid</t>
        </is>
      </c>
      <c r="L28" s="10" t="inlineStr">
        <is>
          <t>inferred</t>
        </is>
      </c>
      <c r="M28" s="10" t="inlineStr"/>
      <c r="N28" s="10">
        <f>IF(OR(L28="official",L28="field_verified"),"CONFIRMED","UNKNOWN")</f>
        <v/>
      </c>
      <c r="O28" s="10" t="inlineStr">
        <is>
          <t>Not surveyed.</t>
        </is>
      </c>
    </row>
    <row r="29">
      <c r="A29" s="10" t="inlineStr">
        <is>
          <t>VT-MITCHELL-E1</t>
        </is>
      </c>
      <c r="B29" s="10" t="inlineStr">
        <is>
          <t>VT-MITCHELL</t>
        </is>
      </c>
      <c r="C29" s="10" t="inlineStr">
        <is>
          <t>N-MITCHELL-E1</t>
        </is>
      </c>
      <c r="D29" s="10" t="inlineStr">
        <is>
          <t>Stanger Street side (planned)</t>
        </is>
      </c>
      <c r="E29" s="11" t="n">
        <v>37.23092</v>
      </c>
      <c r="F29" s="11" t="n">
        <v>-80.42300899999999</v>
      </c>
      <c r="G29" s="10" t="inlineStr">
        <is>
          <t>unknown</t>
        </is>
      </c>
      <c r="H29" s="10" t="inlineStr">
        <is>
          <t>unknown</t>
        </is>
      </c>
      <c r="I29" s="10" t="inlineStr">
        <is>
          <t>unknown</t>
        </is>
      </c>
      <c r="J29" s="10" t="inlineStr"/>
      <c r="K29" s="10" t="inlineStr">
        <is>
          <t>placeholder_offset_from_centroid</t>
        </is>
      </c>
      <c r="L29" s="10" t="inlineStr">
        <is>
          <t>inferred</t>
        </is>
      </c>
      <c r="M29" s="10" t="inlineStr"/>
      <c r="N29" s="10">
        <f>IF(OR(L29="official",L29="field_verified"),"CONFIRMED","UNKNOWN")</f>
        <v/>
      </c>
      <c r="O29" s="10" t="inlineStr">
        <is>
          <t>BUILDING DOES NOT EXIST YET. Placeholder only - see Status Updates.</t>
        </is>
      </c>
    </row>
    <row r="30">
      <c r="A30" s="10" t="inlineStr">
        <is>
          <t>VT-DERRING-EN</t>
        </is>
      </c>
      <c r="B30" s="10" t="inlineStr">
        <is>
          <t>VT-DERRING</t>
        </is>
      </c>
      <c r="C30" s="10" t="inlineStr">
        <is>
          <t>N-DERRING-EN</t>
        </is>
      </c>
      <c r="D30" s="10" t="inlineStr">
        <is>
          <t>North side / West Campus Drive</t>
        </is>
      </c>
      <c r="E30" s="11" t="n">
        <v>37.22946</v>
      </c>
      <c r="F30" s="11" t="n">
        <v>-80.425774</v>
      </c>
      <c r="G30" s="10" t="inlineStr">
        <is>
          <t>unknown</t>
        </is>
      </c>
      <c r="H30" s="10" t="inlineStr">
        <is>
          <t>unknown</t>
        </is>
      </c>
      <c r="I30" s="10" t="inlineStr">
        <is>
          <t>unknown</t>
        </is>
      </c>
      <c r="J30" s="10" t="inlineStr"/>
      <c r="K30" s="10" t="inlineStr">
        <is>
          <t>placeholder_offset_from_centroid</t>
        </is>
      </c>
      <c r="L30" s="10" t="inlineStr">
        <is>
          <t>inferred</t>
        </is>
      </c>
      <c r="M30" s="10" t="inlineStr"/>
      <c r="N30" s="10">
        <f>IF(OR(L30="official",L30="field_verified"),"CONFIRMED","UNKNOWN")</f>
        <v/>
      </c>
      <c r="O30" s="10" t="inlineStr">
        <is>
          <t>Demo route enters here. NOT surveyed.</t>
        </is>
      </c>
    </row>
    <row r="31">
      <c r="A31" s="10" t="inlineStr">
        <is>
          <t>VT-DERRING-EE</t>
        </is>
      </c>
      <c r="B31" s="10" t="inlineStr">
        <is>
          <t>VT-DERRING</t>
        </is>
      </c>
      <c r="C31" s="10" t="inlineStr">
        <is>
          <t>N-DERRING-EE</t>
        </is>
      </c>
      <c r="D31" s="10" t="inlineStr">
        <is>
          <t>East side toward Pamplin</t>
        </is>
      </c>
      <c r="E31" s="11" t="n">
        <v>37.229041</v>
      </c>
      <c r="F31" s="11" t="n">
        <v>-80.425037</v>
      </c>
      <c r="G31" s="10" t="inlineStr">
        <is>
          <t>unknown</t>
        </is>
      </c>
      <c r="H31" s="10" t="inlineStr">
        <is>
          <t>unknown</t>
        </is>
      </c>
      <c r="I31" s="10" t="inlineStr">
        <is>
          <t>unknown</t>
        </is>
      </c>
      <c r="J31" s="10" t="inlineStr"/>
      <c r="K31" s="10" t="inlineStr">
        <is>
          <t>placeholder_offset_from_centroid</t>
        </is>
      </c>
      <c r="L31" s="10" t="inlineStr">
        <is>
          <t>inferred</t>
        </is>
      </c>
      <c r="M31" s="10" t="inlineStr"/>
      <c r="N31" s="10">
        <f>IF(OR(L31="official",L31="field_verified"),"CONFIRMED","UNKNOWN")</f>
        <v/>
      </c>
      <c r="O31" s="10" t="inlineStr">
        <is>
          <t>Demo route exits here. NOT surveyed.</t>
        </is>
      </c>
    </row>
    <row r="32">
      <c r="A32" s="10" t="inlineStr">
        <is>
          <t>VT-PAMPLIN-EW</t>
        </is>
      </c>
      <c r="B32" s="10" t="inlineStr">
        <is>
          <t>VT-PAMPLIN</t>
        </is>
      </c>
      <c r="C32" s="10" t="inlineStr">
        <is>
          <t>N-PAMPLIN-EW</t>
        </is>
      </c>
      <c r="D32" s="10" t="inlineStr">
        <is>
          <t>West side toward Derring</t>
        </is>
      </c>
      <c r="E32" s="11" t="n">
        <v>37.228727</v>
      </c>
      <c r="F32" s="11" t="n">
        <v>-80.425093</v>
      </c>
      <c r="G32" s="10" t="inlineStr">
        <is>
          <t>unknown</t>
        </is>
      </c>
      <c r="H32" s="10" t="inlineStr">
        <is>
          <t>unknown</t>
        </is>
      </c>
      <c r="I32" s="10" t="inlineStr">
        <is>
          <t>unknown</t>
        </is>
      </c>
      <c r="J32" s="10" t="inlineStr"/>
      <c r="K32" s="10" t="inlineStr">
        <is>
          <t>placeholder_offset_from_centroid</t>
        </is>
      </c>
      <c r="L32" s="10" t="inlineStr">
        <is>
          <t>inferred</t>
        </is>
      </c>
      <c r="M32" s="10" t="inlineStr"/>
      <c r="N32" s="10">
        <f>IF(OR(L32="official",L32="field_verified"),"CONFIRMED","UNKNOWN")</f>
        <v/>
      </c>
      <c r="O32" s="10" t="inlineStr">
        <is>
          <t>Not surveyed.</t>
        </is>
      </c>
    </row>
    <row r="33">
      <c r="A33" s="10" t="inlineStr">
        <is>
          <t>VT-PAMPLIN-EN</t>
        </is>
      </c>
      <c r="B33" s="10" t="inlineStr">
        <is>
          <t>VT-PAMPLIN</t>
        </is>
      </c>
      <c r="C33" s="10" t="inlineStr">
        <is>
          <t>N-PAMPLIN-EN</t>
        </is>
      </c>
      <c r="D33" s="10" t="inlineStr">
        <is>
          <t>North side / atrium</t>
        </is>
      </c>
      <c r="E33" s="11" t="n">
        <v>37.229115</v>
      </c>
      <c r="F33" s="11" t="n">
        <v>-80.424458</v>
      </c>
      <c r="G33" s="10" t="inlineStr">
        <is>
          <t>unknown</t>
        </is>
      </c>
      <c r="H33" s="10" t="inlineStr">
        <is>
          <t>unknown</t>
        </is>
      </c>
      <c r="I33" s="10" t="inlineStr">
        <is>
          <t>unknown</t>
        </is>
      </c>
      <c r="J33" s="10" t="inlineStr"/>
      <c r="K33" s="10" t="inlineStr">
        <is>
          <t>placeholder_offset_from_centroid</t>
        </is>
      </c>
      <c r="L33" s="10" t="inlineStr">
        <is>
          <t>inferred</t>
        </is>
      </c>
      <c r="M33" s="10" t="inlineStr"/>
      <c r="N33" s="10">
        <f>IF(OR(L33="official",L33="field_verified"),"CONFIRMED","UNKNOWN")</f>
        <v/>
      </c>
      <c r="O33" s="10" t="inlineStr">
        <is>
          <t>1988 atrium links the old and new wings. NOT surveyed.</t>
        </is>
      </c>
    </row>
  </sheetData>
  <autoFilter ref="A1:O33"/>
  <dataValidations count="3">
    <dataValidation sqref="G2:G400" showDropDown="0" showInputMessage="0" showErrorMessage="0" allowBlank="1" type="list">
      <formula1>"step_free,stairs,limited,unknown"</formula1>
    </dataValidation>
    <dataValidation sqref="H2:H400" showDropDown="0" showInputMessage="0" showErrorMessage="0" allowBlank="1" type="list">
      <formula1>"available,closed,unknown"</formula1>
    </dataValidation>
    <dataValidation sqref="L2:L400" showDropDown="0" showInputMessage="0" showErrorMessage="0" allowBlank="1" type="list">
      <formula1>"official,field_verified,community_report,inferred"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65"/>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26" customWidth="1" min="3" max="3"/>
    <col width="11" customWidth="1" min="4" max="4"/>
    <col width="11" customWidth="1" min="5" max="5"/>
    <col width="11" customWidth="1" min="6" max="6"/>
    <col width="11" customWidth="1" min="7" max="7"/>
    <col width="10" customWidth="1" min="8" max="8"/>
    <col width="19" customWidth="1" min="9" max="9"/>
    <col width="18" customWidth="1" min="10" max="10"/>
    <col width="10" customWidth="1" min="11" max="11"/>
    <col width="14" customWidth="1" min="12" max="12"/>
    <col width="9" customWidth="1" min="13" max="13"/>
    <col width="10" customWidth="1" min="14" max="14"/>
    <col width="14" customWidth="1" min="15" max="15"/>
    <col width="15" customWidth="1" min="16" max="16"/>
    <col width="11" customWidth="1" min="17" max="17"/>
    <col width="13" customWidth="1" min="18" max="18"/>
    <col width="14" customWidth="1" min="19" max="19"/>
    <col width="96" customWidth="1" min="20" max="20"/>
  </cols>
  <sheetData>
    <row r="1">
      <c r="A1" s="6" t="inlineStr">
        <is>
          <t>segment_id</t>
        </is>
      </c>
      <c r="B1" s="6" t="inlineStr">
        <is>
          <t>from_node</t>
        </is>
      </c>
      <c r="C1" s="6" t="inlineStr">
        <is>
          <t>to_node</t>
        </is>
      </c>
      <c r="D1" s="6" t="inlineStr">
        <is>
          <t>from_lat</t>
        </is>
      </c>
      <c r="E1" s="6" t="inlineStr">
        <is>
          <t>from_lon</t>
        </is>
      </c>
      <c r="F1" s="6" t="inlineStr">
        <is>
          <t>to_lat</t>
        </is>
      </c>
      <c r="G1" s="6" t="inlineStr">
        <is>
          <t>to_lon</t>
        </is>
      </c>
      <c r="H1" s="6" t="inlineStr">
        <is>
          <t>length_m</t>
        </is>
      </c>
      <c r="I1" s="6" t="inlineStr">
        <is>
          <t>accessibility_status</t>
        </is>
      </c>
      <c r="J1" s="6" t="inlineStr">
        <is>
          <t>operational_status</t>
        </is>
      </c>
      <c r="K1" s="6" t="inlineStr">
        <is>
          <t>surface</t>
        </is>
      </c>
      <c r="L1" s="6" t="inlineStr">
        <is>
          <t>max_grade_pct</t>
        </is>
      </c>
      <c r="M1" s="6" t="inlineStr">
        <is>
          <t>width_m</t>
        </is>
      </c>
      <c r="N1" s="6" t="inlineStr">
        <is>
          <t>is_indoor</t>
        </is>
      </c>
      <c r="O1" s="6" t="inlineStr">
        <is>
          <t>open_hours</t>
        </is>
      </c>
      <c r="P1" s="6" t="inlineStr">
        <is>
          <t>access_control</t>
        </is>
      </c>
      <c r="Q1" s="6" t="inlineStr">
        <is>
          <t>confidence</t>
        </is>
      </c>
      <c r="R1" s="6" t="inlineStr">
        <is>
          <t>last_verified</t>
        </is>
      </c>
      <c r="S1" s="6" t="inlineStr">
        <is>
          <t>display_tier</t>
        </is>
      </c>
      <c r="T1" s="6" t="inlineStr">
        <is>
          <t>notes</t>
        </is>
      </c>
    </row>
    <row r="2">
      <c r="A2" s="10" t="inlineStr">
        <is>
          <t>SEG-001</t>
        </is>
      </c>
      <c r="B2" s="10" t="inlineStr">
        <is>
          <t>N-GOODWIN-E1</t>
        </is>
      </c>
      <c r="C2" s="10" t="inlineStr">
        <is>
          <t>J-PERRY-W</t>
        </is>
      </c>
      <c r="D2" s="11" t="n">
        <v>37.232015</v>
      </c>
      <c r="E2" s="11" t="n">
        <v>-80.425258</v>
      </c>
      <c r="F2" s="11" t="n">
        <v>37.232055</v>
      </c>
      <c r="G2" s="11" t="n">
        <v>-80.42462</v>
      </c>
      <c r="H2" s="13">
        <f>ROUND(6371000*2*ASIN(SQRT(SIN(RADIANS(F2-D2)/2)^2+COS(RADIANS(D2))*COS(RADIANS(F2))*SIN(RADIANS(G2-E2)/2)^2)),1)</f>
        <v/>
      </c>
      <c r="I2" s="10" t="inlineStr">
        <is>
          <t>unknown</t>
        </is>
      </c>
      <c r="J2" s="10" t="inlineStr">
        <is>
          <t>unknown</t>
        </is>
      </c>
      <c r="K2" s="10" t="inlineStr">
        <is>
          <t>unknown</t>
        </is>
      </c>
      <c r="L2" s="10" t="inlineStr"/>
      <c r="M2" s="10" t="inlineStr"/>
      <c r="N2" s="10" t="inlineStr">
        <is>
          <t>no</t>
        </is>
      </c>
      <c r="O2" s="10" t="inlineStr"/>
      <c r="P2" s="10" t="inlineStr">
        <is>
          <t>outdoor</t>
        </is>
      </c>
      <c r="Q2" s="10" t="inlineStr">
        <is>
          <t>inferred</t>
        </is>
      </c>
      <c r="R2" s="10" t="inlineStr"/>
      <c r="S2" s="10">
        <f>IF(OR(Q2="official",Q2="field_verified"),"CONFIRMED","UNKNOWN")</f>
        <v/>
      </c>
      <c r="T2" s="10" t="inlineStr">
        <is>
          <t>Perry Street frontage. Not surveyed.</t>
        </is>
      </c>
    </row>
    <row r="3">
      <c r="A3" s="10" t="inlineStr">
        <is>
          <t>SEG-002</t>
        </is>
      </c>
      <c r="B3" s="10" t="inlineStr">
        <is>
          <t>J-PERRY-W</t>
        </is>
      </c>
      <c r="C3" s="10" t="inlineStr">
        <is>
          <t>N-DURHAM-E1</t>
        </is>
      </c>
      <c r="D3" s="11" t="n">
        <v>37.232055</v>
      </c>
      <c r="E3" s="11" t="n">
        <v>-80.42462</v>
      </c>
      <c r="F3" s="11" t="n">
        <v>37.231629</v>
      </c>
      <c r="G3" s="11" t="n">
        <v>-80.42420199999999</v>
      </c>
      <c r="H3" s="13">
        <f>ROUND(6371000*2*ASIN(SQRT(SIN(RADIANS(F3-D3)/2)^2+COS(RADIANS(D3))*COS(RADIANS(F3))*SIN(RADIANS(G3-E3)/2)^2)),1)</f>
        <v/>
      </c>
      <c r="I3" s="10" t="inlineStr">
        <is>
          <t>unknown</t>
        </is>
      </c>
      <c r="J3" s="10" t="inlineStr">
        <is>
          <t>unknown</t>
        </is>
      </c>
      <c r="K3" s="10" t="inlineStr">
        <is>
          <t>unknown</t>
        </is>
      </c>
      <c r="L3" s="10" t="inlineStr"/>
      <c r="M3" s="10" t="inlineStr"/>
      <c r="N3" s="10" t="inlineStr">
        <is>
          <t>no</t>
        </is>
      </c>
      <c r="O3" s="10" t="inlineStr"/>
      <c r="P3" s="10" t="inlineStr">
        <is>
          <t>outdoor</t>
        </is>
      </c>
      <c r="Q3" s="10" t="inlineStr">
        <is>
          <t>inferred</t>
        </is>
      </c>
      <c r="R3" s="10" t="inlineStr"/>
      <c r="S3" s="10">
        <f>IF(OR(Q3="official",Q3="field_verified"),"CONFIRMED","UNKNOWN")</f>
        <v/>
      </c>
      <c r="T3" s="10" t="inlineStr">
        <is>
          <t>Not surveyed.</t>
        </is>
      </c>
    </row>
    <row r="4">
      <c r="A4" s="10" t="inlineStr">
        <is>
          <t>SEG-003</t>
        </is>
      </c>
      <c r="B4" s="10" t="inlineStr">
        <is>
          <t>N-DURHAM-E2</t>
        </is>
      </c>
      <c r="C4" s="10" t="inlineStr">
        <is>
          <t>J-PERRY-E</t>
        </is>
      </c>
      <c r="D4" s="11" t="n">
        <v>37.231416</v>
      </c>
      <c r="E4" s="11" t="n">
        <v>-80.42382000000001</v>
      </c>
      <c r="F4" s="11" t="n">
        <v>37.231405</v>
      </c>
      <c r="G4" s="11" t="n">
        <v>-80.42413500000001</v>
      </c>
      <c r="H4" s="13">
        <f>ROUND(6371000*2*ASIN(SQRT(SIN(RADIANS(F4-D4)/2)^2+COS(RADIANS(D4))*COS(RADIANS(F4))*SIN(RADIANS(G4-E4)/2)^2)),1)</f>
        <v/>
      </c>
      <c r="I4" s="10" t="inlineStr">
        <is>
          <t>unknown</t>
        </is>
      </c>
      <c r="J4" s="10" t="inlineStr">
        <is>
          <t>unknown</t>
        </is>
      </c>
      <c r="K4" s="10" t="inlineStr">
        <is>
          <t>unknown</t>
        </is>
      </c>
      <c r="L4" s="10" t="inlineStr"/>
      <c r="M4" s="10" t="inlineStr"/>
      <c r="N4" s="10" t="inlineStr">
        <is>
          <t>no</t>
        </is>
      </c>
      <c r="O4" s="10" t="inlineStr"/>
      <c r="P4" s="10" t="inlineStr">
        <is>
          <t>outdoor</t>
        </is>
      </c>
      <c r="Q4" s="10" t="inlineStr">
        <is>
          <t>inferred</t>
        </is>
      </c>
      <c r="R4" s="10" t="inlineStr"/>
      <c r="S4" s="10">
        <f>IF(OR(Q4="official",Q4="field_verified"),"CONFIRMED","UNKNOWN")</f>
        <v/>
      </c>
      <c r="T4" s="10" t="inlineStr">
        <is>
          <t>Not surveyed.</t>
        </is>
      </c>
    </row>
    <row r="5">
      <c r="A5" s="10" t="inlineStr">
        <is>
          <t>SEG-004</t>
        </is>
      </c>
      <c r="B5" s="10" t="inlineStr">
        <is>
          <t>J-PERRY-E</t>
        </is>
      </c>
      <c r="C5" s="10" t="inlineStr">
        <is>
          <t>N-WHITTEMORE-E1</t>
        </is>
      </c>
      <c r="D5" s="11" t="n">
        <v>37.231405</v>
      </c>
      <c r="E5" s="11" t="n">
        <v>-80.42413500000001</v>
      </c>
      <c r="F5" s="11" t="n">
        <v>37.231374</v>
      </c>
      <c r="G5" s="11" t="n">
        <v>-80.424311</v>
      </c>
      <c r="H5" s="13">
        <f>ROUND(6371000*2*ASIN(SQRT(SIN(RADIANS(F5-D5)/2)^2+COS(RADIANS(D5))*COS(RADIANS(F5))*SIN(RADIANS(G5-E5)/2)^2)),1)</f>
        <v/>
      </c>
      <c r="I5" s="10" t="inlineStr">
        <is>
          <t>unknown</t>
        </is>
      </c>
      <c r="J5" s="10" t="inlineStr">
        <is>
          <t>unknown</t>
        </is>
      </c>
      <c r="K5" s="10" t="inlineStr">
        <is>
          <t>unknown</t>
        </is>
      </c>
      <c r="L5" s="10" t="inlineStr"/>
      <c r="M5" s="10" t="inlineStr"/>
      <c r="N5" s="10" t="inlineStr">
        <is>
          <t>no</t>
        </is>
      </c>
      <c r="O5" s="10" t="inlineStr"/>
      <c r="P5" s="10" t="inlineStr">
        <is>
          <t>outdoor</t>
        </is>
      </c>
      <c r="Q5" s="10" t="inlineStr">
        <is>
          <t>inferred</t>
        </is>
      </c>
      <c r="R5" s="10" t="inlineStr"/>
      <c r="S5" s="10">
        <f>IF(OR(Q5="official",Q5="field_verified"),"CONFIRMED","UNKNOWN")</f>
        <v/>
      </c>
      <c r="T5" s="10" t="inlineStr">
        <is>
          <t>Not surveyed.</t>
        </is>
      </c>
    </row>
    <row r="6">
      <c r="A6" s="10" t="inlineStr">
        <is>
          <t>SEG-005</t>
        </is>
      </c>
      <c r="B6" s="10" t="inlineStr">
        <is>
          <t>N-WHITTEMORE-E2</t>
        </is>
      </c>
      <c r="C6" s="10" t="inlineStr">
        <is>
          <t>J-WHIT-S</t>
        </is>
      </c>
      <c r="D6" s="11" t="n">
        <v>37.230747</v>
      </c>
      <c r="E6" s="11" t="n">
        <v>-80.424415</v>
      </c>
      <c r="F6" s="11" t="n">
        <v>37.230615</v>
      </c>
      <c r="G6" s="11" t="n">
        <v>-80.42435999999999</v>
      </c>
      <c r="H6" s="13">
        <f>ROUND(6371000*2*ASIN(SQRT(SIN(RADIANS(F6-D6)/2)^2+COS(RADIANS(D6))*COS(RADIANS(F6))*SIN(RADIANS(G6-E6)/2)^2)),1)</f>
        <v/>
      </c>
      <c r="I6" s="10" t="inlineStr">
        <is>
          <t>unknown</t>
        </is>
      </c>
      <c r="J6" s="10" t="inlineStr">
        <is>
          <t>unknown</t>
        </is>
      </c>
      <c r="K6" s="10" t="inlineStr">
        <is>
          <t>unknown</t>
        </is>
      </c>
      <c r="L6" s="10" t="inlineStr"/>
      <c r="M6" s="10" t="inlineStr"/>
      <c r="N6" s="10" t="inlineStr">
        <is>
          <t>no</t>
        </is>
      </c>
      <c r="O6" s="10" t="inlineStr"/>
      <c r="P6" s="10" t="inlineStr">
        <is>
          <t>outdoor</t>
        </is>
      </c>
      <c r="Q6" s="10" t="inlineStr">
        <is>
          <t>inferred</t>
        </is>
      </c>
      <c r="R6" s="10" t="inlineStr"/>
      <c r="S6" s="10">
        <f>IF(OR(Q6="official",Q6="field_verified"),"CONFIRMED","UNKNOWN")</f>
        <v/>
      </c>
      <c r="T6" s="10" t="inlineStr">
        <is>
          <t>Not surveyed.</t>
        </is>
      </c>
    </row>
    <row r="7">
      <c r="A7" s="10" t="inlineStr">
        <is>
          <t>SEG-006</t>
        </is>
      </c>
      <c r="B7" s="10" t="inlineStr">
        <is>
          <t>J-WHIT-S</t>
        </is>
      </c>
      <c r="C7" s="10" t="inlineStr">
        <is>
          <t>N-HANCOCK-E2</t>
        </is>
      </c>
      <c r="D7" s="11" t="n">
        <v>37.230615</v>
      </c>
      <c r="E7" s="11" t="n">
        <v>-80.42435999999999</v>
      </c>
      <c r="F7" s="11" t="n">
        <v>37.230185</v>
      </c>
      <c r="G7" s="11" t="n">
        <v>-80.42391000000001</v>
      </c>
      <c r="H7" s="13">
        <f>ROUND(6371000*2*ASIN(SQRT(SIN(RADIANS(F7-D7)/2)^2+COS(RADIANS(D7))*COS(RADIANS(F7))*SIN(RADIANS(G7-E7)/2)^2)),1)</f>
        <v/>
      </c>
      <c r="I7" s="10" t="inlineStr">
        <is>
          <t>unknown</t>
        </is>
      </c>
      <c r="J7" s="10" t="inlineStr">
        <is>
          <t>unknown</t>
        </is>
      </c>
      <c r="K7" s="10" t="inlineStr">
        <is>
          <t>unknown</t>
        </is>
      </c>
      <c r="L7" s="10" t="inlineStr"/>
      <c r="M7" s="10" t="inlineStr"/>
      <c r="N7" s="10" t="inlineStr">
        <is>
          <t>no</t>
        </is>
      </c>
      <c r="O7" s="10" t="inlineStr"/>
      <c r="P7" s="10" t="inlineStr">
        <is>
          <t>outdoor</t>
        </is>
      </c>
      <c r="Q7" s="10" t="inlineStr">
        <is>
          <t>inferred</t>
        </is>
      </c>
      <c r="R7" s="10" t="inlineStr"/>
      <c r="S7" s="10">
        <f>IF(OR(Q7="official",Q7="field_verified"),"CONFIRMED","UNKNOWN")</f>
        <v/>
      </c>
      <c r="T7" s="10" t="inlineStr">
        <is>
          <t>Not surveyed.</t>
        </is>
      </c>
    </row>
    <row r="8">
      <c r="A8" s="10" t="inlineStr">
        <is>
          <t>SEG-007</t>
        </is>
      </c>
      <c r="B8" s="10" t="inlineStr">
        <is>
          <t>N-HANCOCK-E1</t>
        </is>
      </c>
      <c r="C8" s="10" t="inlineStr">
        <is>
          <t>J-DF-NW</t>
        </is>
      </c>
      <c r="D8" s="11" t="n">
        <v>37.230135</v>
      </c>
      <c r="E8" s="11" t="n">
        <v>-80.42462999999999</v>
      </c>
      <c r="F8" s="11" t="n">
        <v>37.229325</v>
      </c>
      <c r="G8" s="11" t="n">
        <v>-80.423867</v>
      </c>
      <c r="H8" s="13">
        <f>ROUND(6371000*2*ASIN(SQRT(SIN(RADIANS(F8-D8)/2)^2+COS(RADIANS(D8))*COS(RADIANS(F8))*SIN(RADIANS(G8-E8)/2)^2)),1)</f>
        <v/>
      </c>
      <c r="I8" s="10" t="inlineStr">
        <is>
          <t>unknown</t>
        </is>
      </c>
      <c r="J8" s="10" t="inlineStr">
        <is>
          <t>unknown</t>
        </is>
      </c>
      <c r="K8" s="10" t="inlineStr">
        <is>
          <t>unknown</t>
        </is>
      </c>
      <c r="L8" s="10" t="inlineStr"/>
      <c r="M8" s="10" t="inlineStr"/>
      <c r="N8" s="10" t="inlineStr">
        <is>
          <t>no</t>
        </is>
      </c>
      <c r="O8" s="10" t="inlineStr"/>
      <c r="P8" s="10" t="inlineStr">
        <is>
          <t>outdoor</t>
        </is>
      </c>
      <c r="Q8" s="10" t="inlineStr">
        <is>
          <t>inferred</t>
        </is>
      </c>
      <c r="R8" s="10" t="inlineStr"/>
      <c r="S8" s="10">
        <f>IF(OR(Q8="official",Q8="field_verified"),"CONFIRMED","UNKNOWN")</f>
        <v/>
      </c>
      <c r="T8" s="10" t="inlineStr">
        <is>
          <t>Old Turner Street toward the Drillfield. Not surveyed.</t>
        </is>
      </c>
    </row>
    <row r="9">
      <c r="A9" s="10" t="inlineStr">
        <is>
          <t>SEG-008</t>
        </is>
      </c>
      <c r="B9" s="10" t="inlineStr">
        <is>
          <t>J-DF-NW</t>
        </is>
      </c>
      <c r="C9" s="10" t="inlineStr">
        <is>
          <t>N-BURRUSS-E2</t>
        </is>
      </c>
      <c r="D9" s="11" t="n">
        <v>37.229325</v>
      </c>
      <c r="E9" s="11" t="n">
        <v>-80.423867</v>
      </c>
      <c r="F9" s="11" t="n">
        <v>37.229354</v>
      </c>
      <c r="G9" s="11" t="n">
        <v>-80.423632</v>
      </c>
      <c r="H9" s="13">
        <f>ROUND(6371000*2*ASIN(SQRT(SIN(RADIANS(F9-D9)/2)^2+COS(RADIANS(D9))*COS(RADIANS(F9))*SIN(RADIANS(G9-E9)/2)^2)),1)</f>
        <v/>
      </c>
      <c r="I9" s="10" t="inlineStr">
        <is>
          <t>unknown</t>
        </is>
      </c>
      <c r="J9" s="10" t="inlineStr">
        <is>
          <t>unknown</t>
        </is>
      </c>
      <c r="K9" s="10" t="inlineStr">
        <is>
          <t>unknown</t>
        </is>
      </c>
      <c r="L9" s="10" t="inlineStr"/>
      <c r="M9" s="10" t="inlineStr"/>
      <c r="N9" s="10" t="inlineStr">
        <is>
          <t>no</t>
        </is>
      </c>
      <c r="O9" s="10" t="inlineStr"/>
      <c r="P9" s="10" t="inlineStr">
        <is>
          <t>outdoor</t>
        </is>
      </c>
      <c r="Q9" s="10" t="inlineStr">
        <is>
          <t>inferred</t>
        </is>
      </c>
      <c r="R9" s="10" t="inlineStr"/>
      <c r="S9" s="10">
        <f>IF(OR(Q9="official",Q9="field_verified"),"CONFIRMED","UNKNOWN")</f>
        <v/>
      </c>
      <c r="T9" s="10" t="inlineStr">
        <is>
          <t>Not surveyed.</t>
        </is>
      </c>
    </row>
    <row r="10">
      <c r="A10" s="10" t="inlineStr">
        <is>
          <t>SEG-009</t>
        </is>
      </c>
      <c r="B10" s="10" t="inlineStr">
        <is>
          <t>N-BURRUSS-E1</t>
        </is>
      </c>
      <c r="C10" s="10" t="inlineStr">
        <is>
          <t>J-DF-N</t>
        </is>
      </c>
      <c r="D10" s="11" t="n">
        <v>37.228928</v>
      </c>
      <c r="E10" s="11" t="n">
        <v>-80.423198</v>
      </c>
      <c r="F10" s="11" t="n">
        <v>37.22888</v>
      </c>
      <c r="G10" s="11" t="n">
        <v>-80.421475</v>
      </c>
      <c r="H10" s="13">
        <f>ROUND(6371000*2*ASIN(SQRT(SIN(RADIANS(F10-D10)/2)^2+COS(RADIANS(D10))*COS(RADIANS(F10))*SIN(RADIANS(G10-E10)/2)^2)),1)</f>
        <v/>
      </c>
      <c r="I10" s="12" t="inlineStr">
        <is>
          <t>stairs</t>
        </is>
      </c>
      <c r="J10" s="10" t="inlineStr">
        <is>
          <t>unknown</t>
        </is>
      </c>
      <c r="K10" s="10" t="inlineStr">
        <is>
          <t>unknown</t>
        </is>
      </c>
      <c r="L10" s="10" t="inlineStr"/>
      <c r="M10" s="10" t="inlineStr"/>
      <c r="N10" s="10" t="inlineStr">
        <is>
          <t>no</t>
        </is>
      </c>
      <c r="O10" s="10" t="inlineStr"/>
      <c r="P10" s="10" t="inlineStr">
        <is>
          <t>outdoor</t>
        </is>
      </c>
      <c r="Q10" s="10" t="inlineStr">
        <is>
          <t>inferred</t>
        </is>
      </c>
      <c r="R10" s="10" t="inlineStr"/>
      <c r="S10" s="10">
        <f>IF(OR(Q10="official",Q10="field_verified"),"CONFIRMED","UNKNOWN")</f>
        <v/>
      </c>
      <c r="T10" s="10" t="inlineStr">
        <is>
          <t>Drillfield front of Burruss: stepped approach. Step count and grade NOT measured.</t>
        </is>
      </c>
    </row>
    <row r="11">
      <c r="A11" s="10" t="inlineStr">
        <is>
          <t>SEG-010</t>
        </is>
      </c>
      <c r="B11" s="10" t="inlineStr">
        <is>
          <t>J-DF-N</t>
        </is>
      </c>
      <c r="C11" s="10" t="inlineStr">
        <is>
          <t>J-DF-E</t>
        </is>
      </c>
      <c r="D11" s="11" t="n">
        <v>37.22888</v>
      </c>
      <c r="E11" s="11" t="n">
        <v>-80.421475</v>
      </c>
      <c r="F11" s="11" t="n">
        <v>37.228796</v>
      </c>
      <c r="G11" s="11" t="n">
        <v>-80.419911</v>
      </c>
      <c r="H11" s="13">
        <f>ROUND(6371000*2*ASIN(SQRT(SIN(RADIANS(F11-D11)/2)^2+COS(RADIANS(D11))*COS(RADIANS(F11))*SIN(RADIANS(G11-E11)/2)^2)),1)</f>
        <v/>
      </c>
      <c r="I11" s="10" t="inlineStr">
        <is>
          <t>unknown</t>
        </is>
      </c>
      <c r="J11" s="10" t="inlineStr">
        <is>
          <t>unknown</t>
        </is>
      </c>
      <c r="K11" s="10" t="inlineStr">
        <is>
          <t>paved</t>
        </is>
      </c>
      <c r="L11" s="10" t="inlineStr"/>
      <c r="M11" s="10" t="inlineStr"/>
      <c r="N11" s="10" t="inlineStr">
        <is>
          <t>no</t>
        </is>
      </c>
      <c r="O11" s="10" t="inlineStr"/>
      <c r="P11" s="10" t="inlineStr">
        <is>
          <t>outdoor</t>
        </is>
      </c>
      <c r="Q11" s="10" t="inlineStr">
        <is>
          <t>inferred</t>
        </is>
      </c>
      <c r="R11" s="10" t="inlineStr"/>
      <c r="S11" s="10">
        <f>IF(OR(Q11="official",Q11="field_verified"),"CONFIRMED","UNKNOWN")</f>
        <v/>
      </c>
      <c r="T11" s="10" t="inlineStr">
        <is>
          <t>Drillfield perimeter walk. Paved, grade NOT measured.</t>
        </is>
      </c>
    </row>
    <row r="12">
      <c r="A12" s="10" t="inlineStr">
        <is>
          <t>SEG-011</t>
        </is>
      </c>
      <c r="B12" s="10" t="inlineStr">
        <is>
          <t>J-DF-E</t>
        </is>
      </c>
      <c r="C12" s="10" t="inlineStr">
        <is>
          <t>N-NEWMAN-LIB-E1</t>
        </is>
      </c>
      <c r="D12" s="11" t="n">
        <v>37.228796</v>
      </c>
      <c r="E12" s="11" t="n">
        <v>-80.419911</v>
      </c>
      <c r="F12" s="11" t="n">
        <v>37.228704</v>
      </c>
      <c r="G12" s="11" t="n">
        <v>-80.41964</v>
      </c>
      <c r="H12" s="13">
        <f>ROUND(6371000*2*ASIN(SQRT(SIN(RADIANS(F12-D12)/2)^2+COS(RADIANS(D12))*COS(RADIANS(F12))*SIN(RADIANS(G12-E12)/2)^2)),1)</f>
        <v/>
      </c>
      <c r="I12" s="10" t="inlineStr">
        <is>
          <t>unknown</t>
        </is>
      </c>
      <c r="J12" s="10" t="inlineStr">
        <is>
          <t>unknown</t>
        </is>
      </c>
      <c r="K12" s="10" t="inlineStr">
        <is>
          <t>unknown</t>
        </is>
      </c>
      <c r="L12" s="10" t="inlineStr"/>
      <c r="M12" s="10" t="inlineStr"/>
      <c r="N12" s="10" t="inlineStr">
        <is>
          <t>no</t>
        </is>
      </c>
      <c r="O12" s="10" t="inlineStr"/>
      <c r="P12" s="10" t="inlineStr">
        <is>
          <t>outdoor</t>
        </is>
      </c>
      <c r="Q12" s="10" t="inlineStr">
        <is>
          <t>inferred</t>
        </is>
      </c>
      <c r="R12" s="10" t="inlineStr"/>
      <c r="S12" s="10">
        <f>IF(OR(Q12="official",Q12="field_verified"),"CONFIRMED","UNKNOWN")</f>
        <v/>
      </c>
      <c r="T12" s="10" t="inlineStr">
        <is>
          <t>Not surveyed.</t>
        </is>
      </c>
    </row>
    <row r="13">
      <c r="A13" s="10" t="inlineStr">
        <is>
          <t>SEG-012</t>
        </is>
      </c>
      <c r="B13" s="10" t="inlineStr">
        <is>
          <t>N-NEWMAN-LIB-E2</t>
        </is>
      </c>
      <c r="C13" s="10" t="inlineStr">
        <is>
          <t>J-ALUMNI-W</t>
        </is>
      </c>
      <c r="D13" s="11" t="n">
        <v>37.229079</v>
      </c>
      <c r="E13" s="11" t="n">
        <v>-80.419169</v>
      </c>
      <c r="F13" s="11" t="n">
        <v>37.229219</v>
      </c>
      <c r="G13" s="11" t="n">
        <v>-80.419568</v>
      </c>
      <c r="H13" s="13">
        <f>ROUND(6371000*2*ASIN(SQRT(SIN(RADIANS(F13-D13)/2)^2+COS(RADIANS(D13))*COS(RADIANS(F13))*SIN(RADIANS(G13-E13)/2)^2)),1)</f>
        <v/>
      </c>
      <c r="I13" s="10" t="inlineStr">
        <is>
          <t>unknown</t>
        </is>
      </c>
      <c r="J13" s="10" t="inlineStr">
        <is>
          <t>unknown</t>
        </is>
      </c>
      <c r="K13" s="10" t="inlineStr">
        <is>
          <t>paved</t>
        </is>
      </c>
      <c r="L13" s="10" t="inlineStr"/>
      <c r="M13" s="10" t="inlineStr"/>
      <c r="N13" s="10" t="inlineStr">
        <is>
          <t>no</t>
        </is>
      </c>
      <c r="O13" s="10" t="inlineStr"/>
      <c r="P13" s="10" t="inlineStr">
        <is>
          <t>outdoor</t>
        </is>
      </c>
      <c r="Q13" s="10" t="inlineStr">
        <is>
          <t>inferred</t>
        </is>
      </c>
      <c r="R13" s="10" t="inlineStr"/>
      <c r="S13" s="10">
        <f>IF(OR(Q13="official",Q13="field_verified"),"CONFIRMED","UNKNOWN")</f>
        <v/>
      </c>
      <c r="T13" s="10" t="inlineStr">
        <is>
          <t>Alumni Mall west end. Not surveyed.</t>
        </is>
      </c>
    </row>
    <row r="14">
      <c r="A14" s="10" t="inlineStr">
        <is>
          <t>SEG-013</t>
        </is>
      </c>
      <c r="B14" s="10" t="inlineStr">
        <is>
          <t>J-ALUMNI-W</t>
        </is>
      </c>
      <c r="C14" s="10" t="inlineStr">
        <is>
          <t>N-TORGERSEN-E1</t>
        </is>
      </c>
      <c r="D14" s="11" t="n">
        <v>37.229219</v>
      </c>
      <c r="E14" s="11" t="n">
        <v>-80.419568</v>
      </c>
      <c r="F14" s="11" t="n">
        <v>37.229456</v>
      </c>
      <c r="G14" s="11" t="n">
        <v>-80.41997000000001</v>
      </c>
      <c r="H14" s="13">
        <f>ROUND(6371000*2*ASIN(SQRT(SIN(RADIANS(F14-D14)/2)^2+COS(RADIANS(D14))*COS(RADIANS(F14))*SIN(RADIANS(G14-E14)/2)^2)),1)</f>
        <v/>
      </c>
      <c r="I14" s="10" t="inlineStr">
        <is>
          <t>unknown</t>
        </is>
      </c>
      <c r="J14" s="10" t="inlineStr">
        <is>
          <t>unknown</t>
        </is>
      </c>
      <c r="K14" s="10" t="inlineStr">
        <is>
          <t>paved</t>
        </is>
      </c>
      <c r="L14" s="10" t="inlineStr"/>
      <c r="M14" s="10" t="inlineStr"/>
      <c r="N14" s="10" t="inlineStr">
        <is>
          <t>no</t>
        </is>
      </c>
      <c r="O14" s="10" t="inlineStr"/>
      <c r="P14" s="10" t="inlineStr">
        <is>
          <t>outdoor</t>
        </is>
      </c>
      <c r="Q14" s="10" t="inlineStr">
        <is>
          <t>inferred</t>
        </is>
      </c>
      <c r="R14" s="10" t="inlineStr"/>
      <c r="S14" s="10">
        <f>IF(OR(Q14="official",Q14="field_verified"),"CONFIRMED","UNKNOWN")</f>
        <v/>
      </c>
      <c r="T14" s="10" t="inlineStr">
        <is>
          <t>Alumni Mall under the Torgersen bridge. Not surveyed.</t>
        </is>
      </c>
    </row>
    <row r="15">
      <c r="A15" s="10" t="inlineStr">
        <is>
          <t>SEG-014</t>
        </is>
      </c>
      <c r="B15" s="10" t="inlineStr">
        <is>
          <t>J-ALUMNI-W</t>
        </is>
      </c>
      <c r="C15" s="10" t="inlineStr">
        <is>
          <t>J-ALUMNI-E</t>
        </is>
      </c>
      <c r="D15" s="11" t="n">
        <v>37.229219</v>
      </c>
      <c r="E15" s="11" t="n">
        <v>-80.419568</v>
      </c>
      <c r="F15" s="11" t="n">
        <v>37.229233</v>
      </c>
      <c r="G15" s="11" t="n">
        <v>-80.418536</v>
      </c>
      <c r="H15" s="13">
        <f>ROUND(6371000*2*ASIN(SQRT(SIN(RADIANS(F15-D15)/2)^2+COS(RADIANS(D15))*COS(RADIANS(F15))*SIN(RADIANS(G15-E15)/2)^2)),1)</f>
        <v/>
      </c>
      <c r="I15" s="10" t="inlineStr">
        <is>
          <t>unknown</t>
        </is>
      </c>
      <c r="J15" s="10" t="inlineStr">
        <is>
          <t>unknown</t>
        </is>
      </c>
      <c r="K15" s="10" t="inlineStr">
        <is>
          <t>paved</t>
        </is>
      </c>
      <c r="L15" s="10" t="inlineStr"/>
      <c r="M15" s="10" t="inlineStr"/>
      <c r="N15" s="10" t="inlineStr">
        <is>
          <t>no</t>
        </is>
      </c>
      <c r="O15" s="10" t="inlineStr"/>
      <c r="P15" s="10" t="inlineStr">
        <is>
          <t>outdoor</t>
        </is>
      </c>
      <c r="Q15" s="10" t="inlineStr">
        <is>
          <t>inferred</t>
        </is>
      </c>
      <c r="R15" s="10" t="inlineStr"/>
      <c r="S15" s="10">
        <f>IF(OR(Q15="official",Q15="field_verified"),"CONFIRMED","UNKNOWN")</f>
        <v/>
      </c>
      <c r="T15" s="10" t="inlineStr">
        <is>
          <t>Alumni Mall spine. CLOSED in the Status Updates demo - the app should reroute via SEG-015/016.</t>
        </is>
      </c>
    </row>
    <row r="16">
      <c r="A16" s="10" t="inlineStr">
        <is>
          <t>SEG-015</t>
        </is>
      </c>
      <c r="B16" s="10" t="inlineStr">
        <is>
          <t>J-ALUMNI-W</t>
        </is>
      </c>
      <c r="C16" s="10" t="inlineStr">
        <is>
          <t>J-ALUMNI-N</t>
        </is>
      </c>
      <c r="D16" s="11" t="n">
        <v>37.229219</v>
      </c>
      <c r="E16" s="11" t="n">
        <v>-80.419568</v>
      </c>
      <c r="F16" s="11" t="n">
        <v>37.229721</v>
      </c>
      <c r="G16" s="11" t="n">
        <v>-80.41905199999999</v>
      </c>
      <c r="H16" s="13">
        <f>ROUND(6371000*2*ASIN(SQRT(SIN(RADIANS(F16-D16)/2)^2+COS(RADIANS(D16))*COS(RADIANS(F16))*SIN(RADIANS(G16-E16)/2)^2)),1)</f>
        <v/>
      </c>
      <c r="I16" s="10" t="inlineStr">
        <is>
          <t>unknown</t>
        </is>
      </c>
      <c r="J16" s="10" t="inlineStr">
        <is>
          <t>unknown</t>
        </is>
      </c>
      <c r="K16" s="10" t="inlineStr">
        <is>
          <t>unknown</t>
        </is>
      </c>
      <c r="L16" s="10" t="inlineStr"/>
      <c r="M16" s="10" t="inlineStr"/>
      <c r="N16" s="10" t="inlineStr">
        <is>
          <t>no</t>
        </is>
      </c>
      <c r="O16" s="10" t="inlineStr"/>
      <c r="P16" s="10" t="inlineStr">
        <is>
          <t>outdoor</t>
        </is>
      </c>
      <c r="Q16" s="10" t="inlineStr">
        <is>
          <t>inferred</t>
        </is>
      </c>
      <c r="R16" s="10" t="inlineStr"/>
      <c r="S16" s="10">
        <f>IF(OR(Q16="official",Q16="field_verified"),"CONFIRMED","UNKNOWN")</f>
        <v/>
      </c>
      <c r="T16" s="10" t="inlineStr">
        <is>
          <t>Parallel route north of the mall. Gives the closure demo an alternative. NOT surveyed.</t>
        </is>
      </c>
    </row>
    <row r="17">
      <c r="A17" s="10" t="inlineStr">
        <is>
          <t>SEG-016</t>
        </is>
      </c>
      <c r="B17" s="10" t="inlineStr">
        <is>
          <t>J-ALUMNI-N</t>
        </is>
      </c>
      <c r="C17" s="10" t="inlineStr">
        <is>
          <t>J-ALUMNI-E</t>
        </is>
      </c>
      <c r="D17" s="11" t="n">
        <v>37.229721</v>
      </c>
      <c r="E17" s="11" t="n">
        <v>-80.41905199999999</v>
      </c>
      <c r="F17" s="11" t="n">
        <v>37.229233</v>
      </c>
      <c r="G17" s="11" t="n">
        <v>-80.418536</v>
      </c>
      <c r="H17" s="13">
        <f>ROUND(6371000*2*ASIN(SQRT(SIN(RADIANS(F17-D17)/2)^2+COS(RADIANS(D17))*COS(RADIANS(F17))*SIN(RADIANS(G17-E17)/2)^2)),1)</f>
        <v/>
      </c>
      <c r="I17" s="10" t="inlineStr">
        <is>
          <t>unknown</t>
        </is>
      </c>
      <c r="J17" s="10" t="inlineStr">
        <is>
          <t>unknown</t>
        </is>
      </c>
      <c r="K17" s="10" t="inlineStr">
        <is>
          <t>unknown</t>
        </is>
      </c>
      <c r="L17" s="10" t="inlineStr"/>
      <c r="M17" s="10" t="inlineStr"/>
      <c r="N17" s="10" t="inlineStr">
        <is>
          <t>no</t>
        </is>
      </c>
      <c r="O17" s="10" t="inlineStr"/>
      <c r="P17" s="10" t="inlineStr">
        <is>
          <t>outdoor</t>
        </is>
      </c>
      <c r="Q17" s="10" t="inlineStr">
        <is>
          <t>inferred</t>
        </is>
      </c>
      <c r="R17" s="10" t="inlineStr"/>
      <c r="S17" s="10">
        <f>IF(OR(Q17="official",Q17="field_verified"),"CONFIRMED","UNKNOWN")</f>
        <v/>
      </c>
      <c r="T17" s="10" t="inlineStr">
        <is>
          <t>Parallel route north of the mall. NOT surveyed.</t>
        </is>
      </c>
    </row>
    <row r="18">
      <c r="A18" s="10" t="inlineStr">
        <is>
          <t>SEG-017</t>
        </is>
      </c>
      <c r="B18" s="10" t="inlineStr">
        <is>
          <t>J-ALUMNI-E</t>
        </is>
      </c>
      <c r="C18" s="10" t="inlineStr">
        <is>
          <t>N-SQUIRES-E1</t>
        </is>
      </c>
      <c r="D18" s="11" t="n">
        <v>37.229233</v>
      </c>
      <c r="E18" s="11" t="n">
        <v>-80.418536</v>
      </c>
      <c r="F18" s="11" t="n">
        <v>37.22962</v>
      </c>
      <c r="G18" s="11" t="n">
        <v>-80.41848</v>
      </c>
      <c r="H18" s="13">
        <f>ROUND(6371000*2*ASIN(SQRT(SIN(RADIANS(F18-D18)/2)^2+COS(RADIANS(D18))*COS(RADIANS(F18))*SIN(RADIANS(G18-E18)/2)^2)),1)</f>
        <v/>
      </c>
      <c r="I18" s="10" t="inlineStr">
        <is>
          <t>unknown</t>
        </is>
      </c>
      <c r="J18" s="10" t="inlineStr">
        <is>
          <t>unknown</t>
        </is>
      </c>
      <c r="K18" s="10" t="inlineStr">
        <is>
          <t>paved</t>
        </is>
      </c>
      <c r="L18" s="10" t="inlineStr"/>
      <c r="M18" s="10" t="inlineStr"/>
      <c r="N18" s="10" t="inlineStr">
        <is>
          <t>no</t>
        </is>
      </c>
      <c r="O18" s="10" t="inlineStr"/>
      <c r="P18" s="10" t="inlineStr">
        <is>
          <t>outdoor</t>
        </is>
      </c>
      <c r="Q18" s="10" t="inlineStr">
        <is>
          <t>inferred</t>
        </is>
      </c>
      <c r="R18" s="10" t="inlineStr"/>
      <c r="S18" s="10">
        <f>IF(OR(Q18="official",Q18="field_verified"),"CONFIRMED","UNKNOWN")</f>
        <v/>
      </c>
      <c r="T18" s="10" t="inlineStr">
        <is>
          <t>Not surveyed.</t>
        </is>
      </c>
    </row>
    <row r="19">
      <c r="A19" s="10" t="inlineStr">
        <is>
          <t>SEG-018</t>
        </is>
      </c>
      <c r="B19" s="10" t="inlineStr">
        <is>
          <t>N-TORGERSEN-E2</t>
        </is>
      </c>
      <c r="C19" s="10" t="inlineStr">
        <is>
          <t>J-MCB-S</t>
        </is>
      </c>
      <c r="D19" s="11" t="n">
        <v>37.230104</v>
      </c>
      <c r="E19" s="11" t="n">
        <v>-80.41997000000001</v>
      </c>
      <c r="F19" s="11" t="n">
        <v>37.230158</v>
      </c>
      <c r="G19" s="11" t="n">
        <v>-80.420784</v>
      </c>
      <c r="H19" s="13">
        <f>ROUND(6371000*2*ASIN(SQRT(SIN(RADIANS(F19-D19)/2)^2+COS(RADIANS(D19))*COS(RADIANS(F19))*SIN(RADIANS(G19-E19)/2)^2)),1)</f>
        <v/>
      </c>
      <c r="I19" s="10" t="inlineStr">
        <is>
          <t>unknown</t>
        </is>
      </c>
      <c r="J19" s="10" t="inlineStr">
        <is>
          <t>unknown</t>
        </is>
      </c>
      <c r="K19" s="10" t="inlineStr">
        <is>
          <t>unknown</t>
        </is>
      </c>
      <c r="L19" s="10" t="inlineStr"/>
      <c r="M19" s="10" t="inlineStr"/>
      <c r="N19" s="10" t="inlineStr">
        <is>
          <t>no</t>
        </is>
      </c>
      <c r="O19" s="10" t="inlineStr"/>
      <c r="P19" s="10" t="inlineStr">
        <is>
          <t>outdoor</t>
        </is>
      </c>
      <c r="Q19" s="10" t="inlineStr">
        <is>
          <t>inferred</t>
        </is>
      </c>
      <c r="R19" s="10" t="inlineStr"/>
      <c r="S19" s="10">
        <f>IF(OR(Q19="official",Q19="field_verified"),"CONFIRMED","UNKNOWN")</f>
        <v/>
      </c>
      <c r="T19" s="10" t="inlineStr">
        <is>
          <t>Not surveyed.</t>
        </is>
      </c>
    </row>
    <row r="20">
      <c r="A20" s="10" t="inlineStr">
        <is>
          <t>SEG-019</t>
        </is>
      </c>
      <c r="B20" s="10" t="inlineStr">
        <is>
          <t>J-MCB-S</t>
        </is>
      </c>
      <c r="C20" s="10" t="inlineStr">
        <is>
          <t>N-MCBRYDE-ES</t>
        </is>
      </c>
      <c r="D20" s="11" t="n">
        <v>37.230158</v>
      </c>
      <c r="E20" s="11" t="n">
        <v>-80.420784</v>
      </c>
      <c r="F20" s="11" t="n">
        <v>37.23026</v>
      </c>
      <c r="G20" s="11" t="n">
        <v>-80.42178</v>
      </c>
      <c r="H20" s="13">
        <f>ROUND(6371000*2*ASIN(SQRT(SIN(RADIANS(F20-D20)/2)^2+COS(RADIANS(D20))*COS(RADIANS(F20))*SIN(RADIANS(G20-E20)/2)^2)),1)</f>
        <v/>
      </c>
      <c r="I20" s="10" t="inlineStr">
        <is>
          <t>unknown</t>
        </is>
      </c>
      <c r="J20" s="10" t="inlineStr">
        <is>
          <t>unknown</t>
        </is>
      </c>
      <c r="K20" s="10" t="inlineStr">
        <is>
          <t>unknown</t>
        </is>
      </c>
      <c r="L20" s="10" t="inlineStr"/>
      <c r="M20" s="10" t="inlineStr"/>
      <c r="N20" s="10" t="inlineStr">
        <is>
          <t>no</t>
        </is>
      </c>
      <c r="O20" s="10" t="inlineStr"/>
      <c r="P20" s="10" t="inlineStr">
        <is>
          <t>outdoor</t>
        </is>
      </c>
      <c r="Q20" s="10" t="inlineStr">
        <is>
          <t>inferred</t>
        </is>
      </c>
      <c r="R20" s="10" t="inlineStr"/>
      <c r="S20" s="10">
        <f>IF(OR(Q20="official",Q20="field_verified"),"CONFIRMED","UNKNOWN")</f>
        <v/>
      </c>
      <c r="T20" s="10" t="inlineStr">
        <is>
          <t>Not surveyed.</t>
        </is>
      </c>
    </row>
    <row r="21">
      <c r="A21" s="10" t="inlineStr">
        <is>
          <t>SEG-020</t>
        </is>
      </c>
      <c r="B21" s="10" t="inlineStr">
        <is>
          <t>N-MCBRYDE-EN</t>
        </is>
      </c>
      <c r="C21" s="10" t="inlineStr">
        <is>
          <t>N-DURHAM-E2</t>
        </is>
      </c>
      <c r="D21" s="11" t="n">
        <v>37.23098</v>
      </c>
      <c r="E21" s="11" t="n">
        <v>-80.42178</v>
      </c>
      <c r="F21" s="11" t="n">
        <v>37.231416</v>
      </c>
      <c r="G21" s="11" t="n">
        <v>-80.42382000000001</v>
      </c>
      <c r="H21" s="13">
        <f>ROUND(6371000*2*ASIN(SQRT(SIN(RADIANS(F21-D21)/2)^2+COS(RADIANS(D21))*COS(RADIANS(F21))*SIN(RADIANS(G21-E21)/2)^2)),1)</f>
        <v/>
      </c>
      <c r="I21" s="10" t="inlineStr">
        <is>
          <t>unknown</t>
        </is>
      </c>
      <c r="J21" s="10" t="inlineStr">
        <is>
          <t>unknown</t>
        </is>
      </c>
      <c r="K21" s="10" t="inlineStr">
        <is>
          <t>unknown</t>
        </is>
      </c>
      <c r="L21" s="10" t="inlineStr"/>
      <c r="M21" s="10" t="inlineStr"/>
      <c r="N21" s="10" t="inlineStr">
        <is>
          <t>no</t>
        </is>
      </c>
      <c r="O21" s="10" t="inlineStr"/>
      <c r="P21" s="10" t="inlineStr">
        <is>
          <t>outdoor</t>
        </is>
      </c>
      <c r="Q21" s="10" t="inlineStr">
        <is>
          <t>inferred</t>
        </is>
      </c>
      <c r="R21" s="10" t="inlineStr"/>
      <c r="S21" s="10">
        <f>IF(OR(Q21="official",Q21="field_verified"),"CONFIRMED","UNKNOWN")</f>
        <v/>
      </c>
      <c r="T21" s="10" t="inlineStr">
        <is>
          <t>Stanger Street. Not surveyed.</t>
        </is>
      </c>
    </row>
    <row r="22">
      <c r="A22" s="10" t="inlineStr">
        <is>
          <t>SEG-021</t>
        </is>
      </c>
      <c r="B22" s="10" t="inlineStr">
        <is>
          <t>N-GOODWIN-E1</t>
        </is>
      </c>
      <c r="C22" s="10" t="inlineStr">
        <is>
          <t>J-NAD-1</t>
        </is>
      </c>
      <c r="D22" s="11" t="n">
        <v>37.232015</v>
      </c>
      <c r="E22" s="11" t="n">
        <v>-80.425258</v>
      </c>
      <c r="F22" s="11" t="n">
        <v>37.232115</v>
      </c>
      <c r="G22" s="11" t="n">
        <v>-80.42618</v>
      </c>
      <c r="H22" s="13">
        <f>ROUND(6371000*2*ASIN(SQRT(SIN(RADIANS(F22-D22)/2)^2+COS(RADIANS(D22))*COS(RADIANS(F22))*SIN(RADIANS(G22-E22)/2)^2)),1)</f>
        <v/>
      </c>
      <c r="I22" s="10" t="inlineStr">
        <is>
          <t>unknown</t>
        </is>
      </c>
      <c r="J22" s="10" t="inlineStr">
        <is>
          <t>unknown</t>
        </is>
      </c>
      <c r="K22" s="10" t="inlineStr">
        <is>
          <t>unknown</t>
        </is>
      </c>
      <c r="L22" s="10" t="inlineStr"/>
      <c r="M22" s="10" t="inlineStr"/>
      <c r="N22" s="10" t="inlineStr">
        <is>
          <t>no</t>
        </is>
      </c>
      <c r="O22" s="10" t="inlineStr"/>
      <c r="P22" s="10" t="inlineStr">
        <is>
          <t>outdoor</t>
        </is>
      </c>
      <c r="Q22" s="10" t="inlineStr">
        <is>
          <t>inferred</t>
        </is>
      </c>
      <c r="R22" s="10" t="inlineStr"/>
      <c r="S22" s="10">
        <f>IF(OR(Q22="official",Q22="field_verified"),"CONFIRMED","UNKNOWN")</f>
        <v/>
      </c>
      <c r="T22" s="10" t="inlineStr">
        <is>
          <t>Not surveyed.</t>
        </is>
      </c>
    </row>
    <row r="23">
      <c r="A23" s="10" t="inlineStr">
        <is>
          <t>SEG-022</t>
        </is>
      </c>
      <c r="B23" s="10" t="inlineStr">
        <is>
          <t>J-NAD-1</t>
        </is>
      </c>
      <c r="C23" s="10" t="inlineStr">
        <is>
          <t>N-DDS-E2</t>
        </is>
      </c>
      <c r="D23" s="11" t="n">
        <v>37.232115</v>
      </c>
      <c r="E23" s="11" t="n">
        <v>-80.42618</v>
      </c>
      <c r="F23" s="11" t="n">
        <v>37.231798</v>
      </c>
      <c r="G23" s="11" t="n">
        <v>-80.426495</v>
      </c>
      <c r="H23" s="13">
        <f>ROUND(6371000*2*ASIN(SQRT(SIN(RADIANS(F23-D23)/2)^2+COS(RADIANS(D23))*COS(RADIANS(F23))*SIN(RADIANS(G23-E23)/2)^2)),1)</f>
        <v/>
      </c>
      <c r="I23" s="10" t="inlineStr">
        <is>
          <t>unknown</t>
        </is>
      </c>
      <c r="J23" s="10" t="inlineStr">
        <is>
          <t>unknown</t>
        </is>
      </c>
      <c r="K23" s="10" t="inlineStr">
        <is>
          <t>unknown</t>
        </is>
      </c>
      <c r="L23" s="10" t="inlineStr"/>
      <c r="M23" s="10" t="inlineStr"/>
      <c r="N23" s="10" t="inlineStr">
        <is>
          <t>no</t>
        </is>
      </c>
      <c r="O23" s="10" t="inlineStr"/>
      <c r="P23" s="10" t="inlineStr">
        <is>
          <t>outdoor</t>
        </is>
      </c>
      <c r="Q23" s="10" t="inlineStr">
        <is>
          <t>inferred</t>
        </is>
      </c>
      <c r="R23" s="10" t="inlineStr"/>
      <c r="S23" s="10">
        <f>IF(OR(Q23="official",Q23="field_verified"),"CONFIRMED","UNKNOWN")</f>
        <v/>
      </c>
      <c r="T23" s="10" t="inlineStr">
        <is>
          <t>Not surveyed.</t>
        </is>
      </c>
    </row>
    <row r="24">
      <c r="A24" s="10" t="inlineStr">
        <is>
          <t>SEG-023</t>
        </is>
      </c>
      <c r="B24" s="10" t="inlineStr">
        <is>
          <t>N-DDS-E1</t>
        </is>
      </c>
      <c r="C24" s="10" t="inlineStr">
        <is>
          <t>J-NAD-2</t>
        </is>
      </c>
      <c r="D24" s="11" t="n">
        <v>37.232198</v>
      </c>
      <c r="E24" s="11" t="n">
        <v>-80.426785</v>
      </c>
      <c r="F24" s="11" t="n">
        <v>37.23163</v>
      </c>
      <c r="G24" s="11" t="n">
        <v>-80.42726999999999</v>
      </c>
      <c r="H24" s="13">
        <f>ROUND(6371000*2*ASIN(SQRT(SIN(RADIANS(F24-D24)/2)^2+COS(RADIANS(D24))*COS(RADIANS(F24))*SIN(RADIANS(G24-E24)/2)^2)),1)</f>
        <v/>
      </c>
      <c r="I24" s="10" t="inlineStr">
        <is>
          <t>unknown</t>
        </is>
      </c>
      <c r="J24" s="10" t="inlineStr">
        <is>
          <t>unknown</t>
        </is>
      </c>
      <c r="K24" s="10" t="inlineStr">
        <is>
          <t>unknown</t>
        </is>
      </c>
      <c r="L24" s="10" t="inlineStr"/>
      <c r="M24" s="10" t="inlineStr"/>
      <c r="N24" s="10" t="inlineStr">
        <is>
          <t>no</t>
        </is>
      </c>
      <c r="O24" s="10" t="inlineStr"/>
      <c r="P24" s="10" t="inlineStr">
        <is>
          <t>outdoor</t>
        </is>
      </c>
      <c r="Q24" s="10" t="inlineStr">
        <is>
          <t>inferred</t>
        </is>
      </c>
      <c r="R24" s="10" t="inlineStr"/>
      <c r="S24" s="10">
        <f>IF(OR(Q24="official",Q24="field_verified"),"CONFIRMED","UNKNOWN")</f>
        <v/>
      </c>
      <c r="T24" s="10" t="inlineStr">
        <is>
          <t>Not surveyed.</t>
        </is>
      </c>
    </row>
    <row r="25">
      <c r="A25" s="10" t="inlineStr">
        <is>
          <t>SEG-024</t>
        </is>
      </c>
      <c r="B25" s="10" t="inlineStr">
        <is>
          <t>J-NAD-2</t>
        </is>
      </c>
      <c r="C25" s="10" t="inlineStr">
        <is>
          <t>N-HITT-E1</t>
        </is>
      </c>
      <c r="D25" s="11" t="n">
        <v>37.23163</v>
      </c>
      <c r="E25" s="11" t="n">
        <v>-80.42726999999999</v>
      </c>
      <c r="F25" s="11" t="n">
        <v>37.231046</v>
      </c>
      <c r="G25" s="11" t="n">
        <v>-80.427678</v>
      </c>
      <c r="H25" s="13">
        <f>ROUND(6371000*2*ASIN(SQRT(SIN(RADIANS(F25-D25)/2)^2+COS(RADIANS(D25))*COS(RADIANS(F25))*SIN(RADIANS(G25-E25)/2)^2)),1)</f>
        <v/>
      </c>
      <c r="I25" s="10" t="inlineStr">
        <is>
          <t>step_free</t>
        </is>
      </c>
      <c r="J25" s="10" t="inlineStr">
        <is>
          <t>unknown</t>
        </is>
      </c>
      <c r="K25" s="10" t="inlineStr">
        <is>
          <t>paved</t>
        </is>
      </c>
      <c r="L25" s="10" t="inlineStr"/>
      <c r="M25" s="10" t="inlineStr"/>
      <c r="N25" s="10" t="inlineStr">
        <is>
          <t>no</t>
        </is>
      </c>
      <c r="O25" s="10" t="inlineStr"/>
      <c r="P25" s="10" t="inlineStr">
        <is>
          <t>outdoor</t>
        </is>
      </c>
      <c r="Q25" s="10" t="inlineStr">
        <is>
          <t>inferred</t>
        </is>
      </c>
      <c r="R25" s="10" t="inlineStr"/>
      <c r="S25" s="10">
        <f>IF(OR(Q25="official",Q25="field_verified"),"CONFIRMED","UNKNOWN")</f>
        <v/>
      </c>
      <c r="T25" s="10" t="inlineStr">
        <is>
          <t>Innovation Plaza. VT Facilities states the Hitt Hall project installed a section of the 'Infinite Loop', a planned two-mile fully accessible pathway. Design intent, NOT a measured grade.</t>
        </is>
      </c>
    </row>
    <row r="26">
      <c r="A26" s="10" t="inlineStr">
        <is>
          <t>SEG-025</t>
        </is>
      </c>
      <c r="B26" s="10" t="inlineStr">
        <is>
          <t>N-HITT-E2</t>
        </is>
      </c>
      <c r="C26" s="10" t="inlineStr">
        <is>
          <t>J-PERRY-W</t>
        </is>
      </c>
      <c r="D26" s="11" t="n">
        <v>37.231462</v>
      </c>
      <c r="E26" s="11" t="n">
        <v>-80.427155</v>
      </c>
      <c r="F26" s="11" t="n">
        <v>37.232055</v>
      </c>
      <c r="G26" s="11" t="n">
        <v>-80.42462</v>
      </c>
      <c r="H26" s="13">
        <f>ROUND(6371000*2*ASIN(SQRT(SIN(RADIANS(F26-D26)/2)^2+COS(RADIANS(D26))*COS(RADIANS(F26))*SIN(RADIANS(G26-E26)/2)^2)),1)</f>
        <v/>
      </c>
      <c r="I26" s="10" t="inlineStr">
        <is>
          <t>unknown</t>
        </is>
      </c>
      <c r="J26" s="10" t="inlineStr">
        <is>
          <t>unknown</t>
        </is>
      </c>
      <c r="K26" s="10" t="inlineStr">
        <is>
          <t>unknown</t>
        </is>
      </c>
      <c r="L26" s="10" t="inlineStr"/>
      <c r="M26" s="10" t="inlineStr"/>
      <c r="N26" s="10" t="inlineStr">
        <is>
          <t>no</t>
        </is>
      </c>
      <c r="O26" s="10" t="inlineStr"/>
      <c r="P26" s="10" t="inlineStr">
        <is>
          <t>outdoor</t>
        </is>
      </c>
      <c r="Q26" s="10" t="inlineStr">
        <is>
          <t>inferred</t>
        </is>
      </c>
      <c r="R26" s="10" t="inlineStr"/>
      <c r="S26" s="10">
        <f>IF(OR(Q26="official",Q26="field_verified"),"CONFIRMED","UNKNOWN")</f>
        <v/>
      </c>
      <c r="T26" s="10" t="inlineStr">
        <is>
          <t>Perry Street, Hitt back toward Goodwin/Durham. Long segment, NOT surveyed.</t>
        </is>
      </c>
    </row>
    <row r="27">
      <c r="A27" s="10" t="inlineStr">
        <is>
          <t>SEG-026</t>
        </is>
      </c>
      <c r="B27" s="10" t="inlineStr">
        <is>
          <t>N-KELLY-E1</t>
        </is>
      </c>
      <c r="C27" s="10" t="inlineStr">
        <is>
          <t>N-MCBRYDE-EN</t>
        </is>
      </c>
      <c r="D27" s="11" t="n">
        <v>37.230936</v>
      </c>
      <c r="E27" s="11" t="n">
        <v>-80.422127</v>
      </c>
      <c r="F27" s="11" t="n">
        <v>37.23098</v>
      </c>
      <c r="G27" s="11" t="n">
        <v>-80.42178</v>
      </c>
      <c r="H27" s="13">
        <f>ROUND(6371000*2*ASIN(SQRT(SIN(RADIANS(F27-D27)/2)^2+COS(RADIANS(D27))*COS(RADIANS(F27))*SIN(RADIANS(G27-E27)/2)^2)),1)</f>
        <v/>
      </c>
      <c r="I27" s="10" t="inlineStr">
        <is>
          <t>unknown</t>
        </is>
      </c>
      <c r="J27" s="10" t="inlineStr">
        <is>
          <t>unknown</t>
        </is>
      </c>
      <c r="K27" s="10" t="inlineStr">
        <is>
          <t>unknown</t>
        </is>
      </c>
      <c r="L27" s="10" t="inlineStr"/>
      <c r="M27" s="10" t="inlineStr"/>
      <c r="N27" s="10" t="inlineStr">
        <is>
          <t>no</t>
        </is>
      </c>
      <c r="O27" s="10" t="inlineStr"/>
      <c r="P27" s="10" t="inlineStr">
        <is>
          <t>outdoor</t>
        </is>
      </c>
      <c r="Q27" s="10" t="inlineStr">
        <is>
          <t>inferred</t>
        </is>
      </c>
      <c r="R27" s="10" t="inlineStr"/>
      <c r="S27" s="10">
        <f>IF(OR(Q27="official",Q27="field_verified"),"CONFIRMED","UNKNOWN")</f>
        <v/>
      </c>
      <c r="T27" s="10" t="inlineStr">
        <is>
          <t>Stanger Street. Not surveyed.</t>
        </is>
      </c>
    </row>
    <row r="28">
      <c r="A28" s="10" t="inlineStr">
        <is>
          <t>SEG-027</t>
        </is>
      </c>
      <c r="B28" s="10" t="inlineStr">
        <is>
          <t>N-KELLY-E2</t>
        </is>
      </c>
      <c r="C28" s="10" t="inlineStr">
        <is>
          <t>J-PERRY-E</t>
        </is>
      </c>
      <c r="D28" s="11" t="n">
        <v>37.23103</v>
      </c>
      <c r="E28" s="11" t="n">
        <v>-80.42279600000001</v>
      </c>
      <c r="F28" s="11" t="n">
        <v>37.231405</v>
      </c>
      <c r="G28" s="11" t="n">
        <v>-80.42413500000001</v>
      </c>
      <c r="H28" s="13">
        <f>ROUND(6371000*2*ASIN(SQRT(SIN(RADIANS(F28-D28)/2)^2+COS(RADIANS(D28))*COS(RADIANS(F28))*SIN(RADIANS(G28-E28)/2)^2)),1)</f>
        <v/>
      </c>
      <c r="I28" s="10" t="inlineStr">
        <is>
          <t>unknown</t>
        </is>
      </c>
      <c r="J28" s="10" t="inlineStr">
        <is>
          <t>unknown</t>
        </is>
      </c>
      <c r="K28" s="10" t="inlineStr">
        <is>
          <t>unknown</t>
        </is>
      </c>
      <c r="L28" s="10" t="inlineStr"/>
      <c r="M28" s="10" t="inlineStr"/>
      <c r="N28" s="10" t="inlineStr">
        <is>
          <t>no</t>
        </is>
      </c>
      <c r="O28" s="10" t="inlineStr"/>
      <c r="P28" s="10" t="inlineStr">
        <is>
          <t>outdoor</t>
        </is>
      </c>
      <c r="Q28" s="10" t="inlineStr">
        <is>
          <t>inferred</t>
        </is>
      </c>
      <c r="R28" s="10" t="inlineStr"/>
      <c r="S28" s="10">
        <f>IF(OR(Q28="official",Q28="field_verified"),"CONFIRMED","UNKNOWN")</f>
        <v/>
      </c>
      <c r="T28" s="10" t="inlineStr">
        <is>
          <t>Not surveyed.</t>
        </is>
      </c>
    </row>
    <row r="29">
      <c r="A29" s="10" t="inlineStr">
        <is>
          <t>SEG-028</t>
        </is>
      </c>
      <c r="B29" s="10" t="inlineStr">
        <is>
          <t>N-MITCHELL-E1</t>
        </is>
      </c>
      <c r="C29" s="10" t="inlineStr">
        <is>
          <t>J-PERRY-E</t>
        </is>
      </c>
      <c r="D29" s="11" t="n">
        <v>37.23092</v>
      </c>
      <c r="E29" s="11" t="n">
        <v>-80.42300899999999</v>
      </c>
      <c r="F29" s="11" t="n">
        <v>37.231405</v>
      </c>
      <c r="G29" s="11" t="n">
        <v>-80.42413500000001</v>
      </c>
      <c r="H29" s="13">
        <f>ROUND(6371000*2*ASIN(SQRT(SIN(RADIANS(F29-D29)/2)^2+COS(RADIANS(D29))*COS(RADIANS(F29))*SIN(RADIANS(G29-E29)/2)^2)),1)</f>
        <v/>
      </c>
      <c r="I29" s="10" t="inlineStr">
        <is>
          <t>unknown</t>
        </is>
      </c>
      <c r="J29" s="12" t="inlineStr">
        <is>
          <t>closed</t>
        </is>
      </c>
      <c r="K29" s="10" t="inlineStr">
        <is>
          <t>unknown</t>
        </is>
      </c>
      <c r="L29" s="10" t="inlineStr"/>
      <c r="M29" s="10" t="inlineStr"/>
      <c r="N29" s="10" t="inlineStr">
        <is>
          <t>no</t>
        </is>
      </c>
      <c r="O29" s="10" t="inlineStr"/>
      <c r="P29" s="10" t="inlineStr">
        <is>
          <t>outdoor</t>
        </is>
      </c>
      <c r="Q29" s="10" t="inlineStr">
        <is>
          <t>inferred</t>
        </is>
      </c>
      <c r="R29" s="10" t="inlineStr"/>
      <c r="S29" s="10">
        <f>IF(OR(Q29="official",Q29="field_verified"),"CONFIRMED","UNKNOWN")</f>
        <v/>
      </c>
      <c r="T29" s="10" t="inlineStr">
        <is>
          <t>Approach to the Mitchell Hall site. CLOSED - active construction until 2028.</t>
        </is>
      </c>
    </row>
    <row r="30">
      <c r="A30" s="10" t="inlineStr">
        <is>
          <t>SEG-029</t>
        </is>
      </c>
      <c r="B30" s="10" t="inlineStr">
        <is>
          <t>N-CFA-E1</t>
        </is>
      </c>
      <c r="C30" s="10" t="inlineStr">
        <is>
          <t>J-MAIN-N</t>
        </is>
      </c>
      <c r="D30" s="11" t="n">
        <v>37.231985</v>
      </c>
      <c r="E30" s="11" t="n">
        <v>-80.417812</v>
      </c>
      <c r="F30" s="11" t="n">
        <v>37.23098</v>
      </c>
      <c r="G30" s="11" t="n">
        <v>-80.417805</v>
      </c>
      <c r="H30" s="13">
        <f>ROUND(6371000*2*ASIN(SQRT(SIN(RADIANS(F30-D30)/2)^2+COS(RADIANS(D30))*COS(RADIANS(F30))*SIN(RADIANS(G30-E30)/2)^2)),1)</f>
        <v/>
      </c>
      <c r="I30" s="10" t="inlineStr">
        <is>
          <t>unknown</t>
        </is>
      </c>
      <c r="J30" s="10" t="inlineStr">
        <is>
          <t>unknown</t>
        </is>
      </c>
      <c r="K30" s="10" t="inlineStr">
        <is>
          <t>unknown</t>
        </is>
      </c>
      <c r="L30" s="10" t="inlineStr"/>
      <c r="M30" s="10" t="inlineStr"/>
      <c r="N30" s="10" t="inlineStr">
        <is>
          <t>no</t>
        </is>
      </c>
      <c r="O30" s="10" t="inlineStr"/>
      <c r="P30" s="10" t="inlineStr">
        <is>
          <t>outdoor</t>
        </is>
      </c>
      <c r="Q30" s="10" t="inlineStr">
        <is>
          <t>inferred</t>
        </is>
      </c>
      <c r="R30" s="10" t="inlineStr"/>
      <c r="S30" s="10">
        <f>IF(OR(Q30="official",Q30="field_verified"),"CONFIRMED","UNKNOWN")</f>
        <v/>
      </c>
      <c r="T30" s="10" t="inlineStr">
        <is>
          <t>Not surveyed.</t>
        </is>
      </c>
    </row>
    <row r="31">
      <c r="A31" s="10" t="inlineStr">
        <is>
          <t>SEG-030</t>
        </is>
      </c>
      <c r="B31" s="10" t="inlineStr">
        <is>
          <t>J-MAIN-N</t>
        </is>
      </c>
      <c r="C31" s="10" t="inlineStr">
        <is>
          <t>N-SQUIRES-E2</t>
        </is>
      </c>
      <c r="D31" s="11" t="n">
        <v>37.23098</v>
      </c>
      <c r="E31" s="11" t="n">
        <v>-80.417805</v>
      </c>
      <c r="F31" s="11" t="n">
        <v>37.22998</v>
      </c>
      <c r="G31" s="11" t="n">
        <v>-80.41795999999999</v>
      </c>
      <c r="H31" s="13">
        <f>ROUND(6371000*2*ASIN(SQRT(SIN(RADIANS(F31-D31)/2)^2+COS(RADIANS(D31))*COS(RADIANS(F31))*SIN(RADIANS(G31-E31)/2)^2)),1)</f>
        <v/>
      </c>
      <c r="I31" s="10" t="inlineStr">
        <is>
          <t>unknown</t>
        </is>
      </c>
      <c r="J31" s="10" t="inlineStr">
        <is>
          <t>unknown</t>
        </is>
      </c>
      <c r="K31" s="10" t="inlineStr">
        <is>
          <t>unknown</t>
        </is>
      </c>
      <c r="L31" s="10" t="inlineStr"/>
      <c r="M31" s="10" t="inlineStr"/>
      <c r="N31" s="10" t="inlineStr">
        <is>
          <t>no</t>
        </is>
      </c>
      <c r="O31" s="10" t="inlineStr"/>
      <c r="P31" s="10" t="inlineStr">
        <is>
          <t>outdoor</t>
        </is>
      </c>
      <c r="Q31" s="10" t="inlineStr">
        <is>
          <t>inferred</t>
        </is>
      </c>
      <c r="R31" s="10" t="inlineStr"/>
      <c r="S31" s="10">
        <f>IF(OR(Q31="official",Q31="field_verified"),"CONFIRMED","UNKNOWN")</f>
        <v/>
      </c>
      <c r="T31" s="10" t="inlineStr">
        <is>
          <t>Not surveyed.</t>
        </is>
      </c>
    </row>
    <row r="32">
      <c r="A32" s="10" t="inlineStr">
        <is>
          <t>SEG-P01</t>
        </is>
      </c>
      <c r="B32" s="10" t="inlineStr">
        <is>
          <t>N-GOODWIN-E1</t>
        </is>
      </c>
      <c r="C32" s="10" t="inlineStr">
        <is>
          <t>N-GOODWIN-E2</t>
        </is>
      </c>
      <c r="D32" s="11" t="n">
        <v>37.232015</v>
      </c>
      <c r="E32" s="11" t="n">
        <v>-80.425258</v>
      </c>
      <c r="F32" s="11" t="n">
        <v>37.23237</v>
      </c>
      <c r="G32" s="11" t="n">
        <v>-80.42491200000001</v>
      </c>
      <c r="H32" s="13">
        <f>ROUND(6371000*2*ASIN(SQRT(SIN(RADIANS(F32-D32)/2)^2+COS(RADIANS(D32))*COS(RADIANS(F32))*SIN(RADIANS(G32-E32)/2)^2)),1)</f>
        <v/>
      </c>
      <c r="I32" s="10" t="inlineStr">
        <is>
          <t>unknown</t>
        </is>
      </c>
      <c r="J32" s="10" t="inlineStr">
        <is>
          <t>unknown</t>
        </is>
      </c>
      <c r="K32" s="10" t="inlineStr">
        <is>
          <t>unknown</t>
        </is>
      </c>
      <c r="L32" s="10" t="inlineStr"/>
      <c r="M32" s="10" t="inlineStr"/>
      <c r="N32" s="10" t="inlineStr">
        <is>
          <t>no</t>
        </is>
      </c>
      <c r="O32" s="10" t="inlineStr"/>
      <c r="P32" s="10" t="inlineStr">
        <is>
          <t>outdoor</t>
        </is>
      </c>
      <c r="Q32" s="10" t="inlineStr">
        <is>
          <t>inferred</t>
        </is>
      </c>
      <c r="R32" s="10" t="inlineStr"/>
      <c r="S32" s="10">
        <f>IF(OR(Q32="official",Q32="field_verified"),"CONFIRMED","UNKNOWN")</f>
        <v/>
      </c>
      <c r="T32" s="10" t="inlineStr">
        <is>
          <t>Perimeter link between this building's doors. NOT surveyed.</t>
        </is>
      </c>
    </row>
    <row r="33">
      <c r="A33" s="10" t="inlineStr">
        <is>
          <t>SEG-P02</t>
        </is>
      </c>
      <c r="B33" s="10" t="inlineStr">
        <is>
          <t>N-DURHAM-E1</t>
        </is>
      </c>
      <c r="C33" s="10" t="inlineStr">
        <is>
          <t>N-DURHAM-E2</t>
        </is>
      </c>
      <c r="D33" s="11" t="n">
        <v>37.231629</v>
      </c>
      <c r="E33" s="11" t="n">
        <v>-80.42420199999999</v>
      </c>
      <c r="F33" s="11" t="n">
        <v>37.231416</v>
      </c>
      <c r="G33" s="11" t="n">
        <v>-80.42382000000001</v>
      </c>
      <c r="H33" s="13">
        <f>ROUND(6371000*2*ASIN(SQRT(SIN(RADIANS(F33-D33)/2)^2+COS(RADIANS(D33))*COS(RADIANS(F33))*SIN(RADIANS(G33-E33)/2)^2)),1)</f>
        <v/>
      </c>
      <c r="I33" s="10" t="inlineStr">
        <is>
          <t>unknown</t>
        </is>
      </c>
      <c r="J33" s="10" t="inlineStr">
        <is>
          <t>unknown</t>
        </is>
      </c>
      <c r="K33" s="10" t="inlineStr">
        <is>
          <t>unknown</t>
        </is>
      </c>
      <c r="L33" s="10" t="inlineStr"/>
      <c r="M33" s="10" t="inlineStr"/>
      <c r="N33" s="10" t="inlineStr">
        <is>
          <t>no</t>
        </is>
      </c>
      <c r="O33" s="10" t="inlineStr"/>
      <c r="P33" s="10" t="inlineStr">
        <is>
          <t>outdoor</t>
        </is>
      </c>
      <c r="Q33" s="10" t="inlineStr">
        <is>
          <t>inferred</t>
        </is>
      </c>
      <c r="R33" s="10" t="inlineStr"/>
      <c r="S33" s="10">
        <f>IF(OR(Q33="official",Q33="field_verified"),"CONFIRMED","UNKNOWN")</f>
        <v/>
      </c>
      <c r="T33" s="10" t="inlineStr">
        <is>
          <t>Perimeter link. NOT surveyed.</t>
        </is>
      </c>
    </row>
    <row r="34">
      <c r="A34" s="10" t="inlineStr">
        <is>
          <t>SEG-P03</t>
        </is>
      </c>
      <c r="B34" s="10" t="inlineStr">
        <is>
          <t>N-WHITTEMORE-E1</t>
        </is>
      </c>
      <c r="C34" s="10" t="inlineStr">
        <is>
          <t>N-WHITTEMORE-E2</t>
        </is>
      </c>
      <c r="D34" s="11" t="n">
        <v>37.231374</v>
      </c>
      <c r="E34" s="11" t="n">
        <v>-80.424311</v>
      </c>
      <c r="F34" s="11" t="n">
        <v>37.230747</v>
      </c>
      <c r="G34" s="11" t="n">
        <v>-80.424415</v>
      </c>
      <c r="H34" s="13">
        <f>ROUND(6371000*2*ASIN(SQRT(SIN(RADIANS(F34-D34)/2)^2+COS(RADIANS(D34))*COS(RADIANS(F34))*SIN(RADIANS(G34-E34)/2)^2)),1)</f>
        <v/>
      </c>
      <c r="I34" s="10" t="inlineStr">
        <is>
          <t>unknown</t>
        </is>
      </c>
      <c r="J34" s="10" t="inlineStr">
        <is>
          <t>unknown</t>
        </is>
      </c>
      <c r="K34" s="10" t="inlineStr">
        <is>
          <t>unknown</t>
        </is>
      </c>
      <c r="L34" s="10" t="inlineStr"/>
      <c r="M34" s="10" t="inlineStr"/>
      <c r="N34" s="10" t="inlineStr">
        <is>
          <t>no</t>
        </is>
      </c>
      <c r="O34" s="10" t="inlineStr"/>
      <c r="P34" s="10" t="inlineStr">
        <is>
          <t>outdoor</t>
        </is>
      </c>
      <c r="Q34" s="10" t="inlineStr">
        <is>
          <t>inferred</t>
        </is>
      </c>
      <c r="R34" s="10" t="inlineStr"/>
      <c r="S34" s="10">
        <f>IF(OR(Q34="official",Q34="field_verified"),"CONFIRMED","UNKNOWN")</f>
        <v/>
      </c>
      <c r="T34" s="10" t="inlineStr">
        <is>
          <t>Perimeter link. NOT surveyed.</t>
        </is>
      </c>
    </row>
    <row r="35">
      <c r="A35" s="10" t="inlineStr">
        <is>
          <t>SEG-P04</t>
        </is>
      </c>
      <c r="B35" s="10" t="inlineStr">
        <is>
          <t>N-MCBRYDE-EN</t>
        </is>
      </c>
      <c r="C35" s="10" t="inlineStr">
        <is>
          <t>N-MCBRYDE-EW</t>
        </is>
      </c>
      <c r="D35" s="11" t="n">
        <v>37.23098</v>
      </c>
      <c r="E35" s="11" t="n">
        <v>-80.42178</v>
      </c>
      <c r="F35" s="11" t="n">
        <v>37.23062</v>
      </c>
      <c r="G35" s="11" t="n">
        <v>-80.42223199999999</v>
      </c>
      <c r="H35" s="13">
        <f>ROUND(6371000*2*ASIN(SQRT(SIN(RADIANS(F35-D35)/2)^2+COS(RADIANS(D35))*COS(RADIANS(F35))*SIN(RADIANS(G35-E35)/2)^2)),1)</f>
        <v/>
      </c>
      <c r="I35" s="10" t="inlineStr">
        <is>
          <t>unknown</t>
        </is>
      </c>
      <c r="J35" s="10" t="inlineStr">
        <is>
          <t>unknown</t>
        </is>
      </c>
      <c r="K35" s="10" t="inlineStr">
        <is>
          <t>unknown</t>
        </is>
      </c>
      <c r="L35" s="10" t="inlineStr"/>
      <c r="M35" s="10" t="inlineStr"/>
      <c r="N35" s="10" t="inlineStr">
        <is>
          <t>no</t>
        </is>
      </c>
      <c r="O35" s="10" t="inlineStr"/>
      <c r="P35" s="10" t="inlineStr">
        <is>
          <t>outdoor</t>
        </is>
      </c>
      <c r="Q35" s="10" t="inlineStr">
        <is>
          <t>inferred</t>
        </is>
      </c>
      <c r="R35" s="10" t="inlineStr"/>
      <c r="S35" s="10">
        <f>IF(OR(Q35="official",Q35="field_verified"),"CONFIRMED","UNKNOWN")</f>
        <v/>
      </c>
      <c r="T35" s="10" t="inlineStr">
        <is>
          <t>Perimeter link. NOT surveyed.</t>
        </is>
      </c>
    </row>
    <row r="36">
      <c r="A36" s="10" t="inlineStr">
        <is>
          <t>SEG-P05</t>
        </is>
      </c>
      <c r="B36" s="10" t="inlineStr">
        <is>
          <t>N-MCBRYDE-EW</t>
        </is>
      </c>
      <c r="C36" s="10" t="inlineStr">
        <is>
          <t>N-MCBRYDE-ES</t>
        </is>
      </c>
      <c r="D36" s="11" t="n">
        <v>37.23062</v>
      </c>
      <c r="E36" s="11" t="n">
        <v>-80.42223199999999</v>
      </c>
      <c r="F36" s="11" t="n">
        <v>37.23026</v>
      </c>
      <c r="G36" s="11" t="n">
        <v>-80.42178</v>
      </c>
      <c r="H36" s="13">
        <f>ROUND(6371000*2*ASIN(SQRT(SIN(RADIANS(F36-D36)/2)^2+COS(RADIANS(D36))*COS(RADIANS(F36))*SIN(RADIANS(G36-E36)/2)^2)),1)</f>
        <v/>
      </c>
      <c r="I36" s="10" t="inlineStr">
        <is>
          <t>unknown</t>
        </is>
      </c>
      <c r="J36" s="10" t="inlineStr">
        <is>
          <t>unknown</t>
        </is>
      </c>
      <c r="K36" s="10" t="inlineStr">
        <is>
          <t>unknown</t>
        </is>
      </c>
      <c r="L36" s="10" t="inlineStr"/>
      <c r="M36" s="10" t="inlineStr"/>
      <c r="N36" s="10" t="inlineStr">
        <is>
          <t>no</t>
        </is>
      </c>
      <c r="O36" s="10" t="inlineStr"/>
      <c r="P36" s="10" t="inlineStr">
        <is>
          <t>outdoor</t>
        </is>
      </c>
      <c r="Q36" s="10" t="inlineStr">
        <is>
          <t>inferred</t>
        </is>
      </c>
      <c r="R36" s="10" t="inlineStr"/>
      <c r="S36" s="10">
        <f>IF(OR(Q36="official",Q36="field_verified"),"CONFIRMED","UNKNOWN")</f>
        <v/>
      </c>
      <c r="T36" s="10" t="inlineStr">
        <is>
          <t>Perimeter link. NOT surveyed.</t>
        </is>
      </c>
    </row>
    <row r="37">
      <c r="A37" s="10" t="inlineStr">
        <is>
          <t>SEG-P06</t>
        </is>
      </c>
      <c r="B37" s="10" t="inlineStr">
        <is>
          <t>N-HANCOCK-E1</t>
        </is>
      </c>
      <c r="C37" s="10" t="inlineStr">
        <is>
          <t>N-HANCOCK-E2</t>
        </is>
      </c>
      <c r="D37" s="11" t="n">
        <v>37.230135</v>
      </c>
      <c r="E37" s="11" t="n">
        <v>-80.42462999999999</v>
      </c>
      <c r="F37" s="11" t="n">
        <v>37.230185</v>
      </c>
      <c r="G37" s="11" t="n">
        <v>-80.42391000000001</v>
      </c>
      <c r="H37" s="13">
        <f>ROUND(6371000*2*ASIN(SQRT(SIN(RADIANS(F37-D37)/2)^2+COS(RADIANS(D37))*COS(RADIANS(F37))*SIN(RADIANS(G37-E37)/2)^2)),1)</f>
        <v/>
      </c>
      <c r="I37" s="10" t="inlineStr">
        <is>
          <t>unknown</t>
        </is>
      </c>
      <c r="J37" s="10" t="inlineStr">
        <is>
          <t>unknown</t>
        </is>
      </c>
      <c r="K37" s="10" t="inlineStr">
        <is>
          <t>unknown</t>
        </is>
      </c>
      <c r="L37" s="10" t="inlineStr"/>
      <c r="M37" s="10" t="inlineStr"/>
      <c r="N37" s="10" t="inlineStr">
        <is>
          <t>no</t>
        </is>
      </c>
      <c r="O37" s="10" t="inlineStr"/>
      <c r="P37" s="10" t="inlineStr">
        <is>
          <t>outdoor</t>
        </is>
      </c>
      <c r="Q37" s="10" t="inlineStr">
        <is>
          <t>inferred</t>
        </is>
      </c>
      <c r="R37" s="10" t="inlineStr"/>
      <c r="S37" s="10">
        <f>IF(OR(Q37="official",Q37="field_verified"),"CONFIRMED","UNKNOWN")</f>
        <v/>
      </c>
      <c r="T37" s="10" t="inlineStr">
        <is>
          <t>Perimeter link. NOT surveyed.</t>
        </is>
      </c>
    </row>
    <row r="38">
      <c r="A38" s="10" t="inlineStr">
        <is>
          <t>SEG-P07</t>
        </is>
      </c>
      <c r="B38" s="10" t="inlineStr">
        <is>
          <t>N-TORGERSEN-E1</t>
        </is>
      </c>
      <c r="C38" s="10" t="inlineStr">
        <is>
          <t>N-TORGERSEN-E2</t>
        </is>
      </c>
      <c r="D38" s="11" t="n">
        <v>37.229456</v>
      </c>
      <c r="E38" s="11" t="n">
        <v>-80.41997000000001</v>
      </c>
      <c r="F38" s="11" t="n">
        <v>37.230104</v>
      </c>
      <c r="G38" s="11" t="n">
        <v>-80.41997000000001</v>
      </c>
      <c r="H38" s="13">
        <f>ROUND(6371000*2*ASIN(SQRT(SIN(RADIANS(F38-D38)/2)^2+COS(RADIANS(D38))*COS(RADIANS(F38))*SIN(RADIANS(G38-E38)/2)^2)),1)</f>
        <v/>
      </c>
      <c r="I38" s="10" t="inlineStr">
        <is>
          <t>unknown</t>
        </is>
      </c>
      <c r="J38" s="10" t="inlineStr">
        <is>
          <t>unknown</t>
        </is>
      </c>
      <c r="K38" s="10" t="inlineStr">
        <is>
          <t>unknown</t>
        </is>
      </c>
      <c r="L38" s="10" t="inlineStr"/>
      <c r="M38" s="10" t="inlineStr"/>
      <c r="N38" s="10" t="inlineStr">
        <is>
          <t>no</t>
        </is>
      </c>
      <c r="O38" s="10" t="inlineStr"/>
      <c r="P38" s="10" t="inlineStr">
        <is>
          <t>outdoor</t>
        </is>
      </c>
      <c r="Q38" s="10" t="inlineStr">
        <is>
          <t>inferred</t>
        </is>
      </c>
      <c r="R38" s="10" t="inlineStr"/>
      <c r="S38" s="10">
        <f>IF(OR(Q38="official",Q38="field_verified"),"CONFIRMED","UNKNOWN")</f>
        <v/>
      </c>
      <c r="T38" s="10" t="inlineStr">
        <is>
          <t>Perimeter link. NOT surveyed.</t>
        </is>
      </c>
    </row>
    <row r="39">
      <c r="A39" s="10" t="inlineStr">
        <is>
          <t>SEG-P08</t>
        </is>
      </c>
      <c r="B39" s="10" t="inlineStr">
        <is>
          <t>N-BURRUSS-E1</t>
        </is>
      </c>
      <c r="C39" s="10" t="inlineStr">
        <is>
          <t>N-BURRUSS-E2</t>
        </is>
      </c>
      <c r="D39" s="11" t="n">
        <v>37.228928</v>
      </c>
      <c r="E39" s="11" t="n">
        <v>-80.423198</v>
      </c>
      <c r="F39" s="11" t="n">
        <v>37.229354</v>
      </c>
      <c r="G39" s="11" t="n">
        <v>-80.423632</v>
      </c>
      <c r="H39" s="13">
        <f>ROUND(6371000*2*ASIN(SQRT(SIN(RADIANS(F39-D39)/2)^2+COS(RADIANS(D39))*COS(RADIANS(F39))*SIN(RADIANS(G39-E39)/2)^2)),1)</f>
        <v/>
      </c>
      <c r="I39" s="10" t="inlineStr">
        <is>
          <t>unknown</t>
        </is>
      </c>
      <c r="J39" s="10" t="inlineStr">
        <is>
          <t>unknown</t>
        </is>
      </c>
      <c r="K39" s="10" t="inlineStr">
        <is>
          <t>unknown</t>
        </is>
      </c>
      <c r="L39" s="10" t="inlineStr"/>
      <c r="M39" s="10" t="inlineStr"/>
      <c r="N39" s="10" t="inlineStr">
        <is>
          <t>no</t>
        </is>
      </c>
      <c r="O39" s="10" t="inlineStr"/>
      <c r="P39" s="10" t="inlineStr">
        <is>
          <t>outdoor</t>
        </is>
      </c>
      <c r="Q39" s="10" t="inlineStr">
        <is>
          <t>inferred</t>
        </is>
      </c>
      <c r="R39" s="10" t="inlineStr"/>
      <c r="S39" s="10">
        <f>IF(OR(Q39="official",Q39="field_verified"),"CONFIRMED","UNKNOWN")</f>
        <v/>
      </c>
      <c r="T39" s="10" t="inlineStr">
        <is>
          <t>Perimeter link. The only way to reach Burruss without SEG-009's steps, so its real status matters. NOT surveyed.</t>
        </is>
      </c>
    </row>
    <row r="40">
      <c r="A40" s="10" t="inlineStr">
        <is>
          <t>SEG-P09</t>
        </is>
      </c>
      <c r="B40" s="10" t="inlineStr">
        <is>
          <t>N-NEWMAN-LIB-E1</t>
        </is>
      </c>
      <c r="C40" s="10" t="inlineStr">
        <is>
          <t>N-NEWMAN-LIB-E2</t>
        </is>
      </c>
      <c r="D40" s="11" t="n">
        <v>37.228704</v>
      </c>
      <c r="E40" s="11" t="n">
        <v>-80.41964</v>
      </c>
      <c r="F40" s="11" t="n">
        <v>37.229079</v>
      </c>
      <c r="G40" s="11" t="n">
        <v>-80.419169</v>
      </c>
      <c r="H40" s="13">
        <f>ROUND(6371000*2*ASIN(SQRT(SIN(RADIANS(F40-D40)/2)^2+COS(RADIANS(D40))*COS(RADIANS(F40))*SIN(RADIANS(G40-E40)/2)^2)),1)</f>
        <v/>
      </c>
      <c r="I40" s="10" t="inlineStr">
        <is>
          <t>unknown</t>
        </is>
      </c>
      <c r="J40" s="10" t="inlineStr">
        <is>
          <t>unknown</t>
        </is>
      </c>
      <c r="K40" s="10" t="inlineStr">
        <is>
          <t>unknown</t>
        </is>
      </c>
      <c r="L40" s="10" t="inlineStr"/>
      <c r="M40" s="10" t="inlineStr"/>
      <c r="N40" s="10" t="inlineStr">
        <is>
          <t>no</t>
        </is>
      </c>
      <c r="O40" s="10" t="inlineStr"/>
      <c r="P40" s="10" t="inlineStr">
        <is>
          <t>outdoor</t>
        </is>
      </c>
      <c r="Q40" s="10" t="inlineStr">
        <is>
          <t>inferred</t>
        </is>
      </c>
      <c r="R40" s="10" t="inlineStr"/>
      <c r="S40" s="10">
        <f>IF(OR(Q40="official",Q40="field_verified"),"CONFIRMED","UNKNOWN")</f>
        <v/>
      </c>
      <c r="T40" s="10" t="inlineStr">
        <is>
          <t>Perimeter link. NOT surveyed.</t>
        </is>
      </c>
    </row>
    <row r="41">
      <c r="A41" s="10" t="inlineStr">
        <is>
          <t>SEG-P10</t>
        </is>
      </c>
      <c r="B41" s="10" t="inlineStr">
        <is>
          <t>N-SQUIRES-E1</t>
        </is>
      </c>
      <c r="C41" s="10" t="inlineStr">
        <is>
          <t>N-SQUIRES-E2</t>
        </is>
      </c>
      <c r="D41" s="11" t="n">
        <v>37.22962</v>
      </c>
      <c r="E41" s="11" t="n">
        <v>-80.41848</v>
      </c>
      <c r="F41" s="11" t="n">
        <v>37.22998</v>
      </c>
      <c r="G41" s="11" t="n">
        <v>-80.41795999999999</v>
      </c>
      <c r="H41" s="13">
        <f>ROUND(6371000*2*ASIN(SQRT(SIN(RADIANS(F41-D41)/2)^2+COS(RADIANS(D41))*COS(RADIANS(F41))*SIN(RADIANS(G41-E41)/2)^2)),1)</f>
        <v/>
      </c>
      <c r="I41" s="10" t="inlineStr">
        <is>
          <t>unknown</t>
        </is>
      </c>
      <c r="J41" s="10" t="inlineStr">
        <is>
          <t>unknown</t>
        </is>
      </c>
      <c r="K41" s="10" t="inlineStr">
        <is>
          <t>unknown</t>
        </is>
      </c>
      <c r="L41" s="10" t="inlineStr"/>
      <c r="M41" s="10" t="inlineStr"/>
      <c r="N41" s="10" t="inlineStr">
        <is>
          <t>no</t>
        </is>
      </c>
      <c r="O41" s="10" t="inlineStr"/>
      <c r="P41" s="10" t="inlineStr">
        <is>
          <t>outdoor</t>
        </is>
      </c>
      <c r="Q41" s="10" t="inlineStr">
        <is>
          <t>inferred</t>
        </is>
      </c>
      <c r="R41" s="10" t="inlineStr"/>
      <c r="S41" s="10">
        <f>IF(OR(Q41="official",Q41="field_verified"),"CONFIRMED","UNKNOWN")</f>
        <v/>
      </c>
      <c r="T41" s="10" t="inlineStr">
        <is>
          <t>Perimeter link. NOT surveyed.</t>
        </is>
      </c>
    </row>
    <row r="42">
      <c r="A42" s="10" t="inlineStr">
        <is>
          <t>SEG-P11</t>
        </is>
      </c>
      <c r="B42" s="10" t="inlineStr">
        <is>
          <t>N-DDS-E1</t>
        </is>
      </c>
      <c r="C42" s="10" t="inlineStr">
        <is>
          <t>N-DDS-E2</t>
        </is>
      </c>
      <c r="D42" s="11" t="n">
        <v>37.232198</v>
      </c>
      <c r="E42" s="11" t="n">
        <v>-80.426785</v>
      </c>
      <c r="F42" s="11" t="n">
        <v>37.231798</v>
      </c>
      <c r="G42" s="11" t="n">
        <v>-80.426495</v>
      </c>
      <c r="H42" s="13">
        <f>ROUND(6371000*2*ASIN(SQRT(SIN(RADIANS(F42-D42)/2)^2+COS(RADIANS(D42))*COS(RADIANS(F42))*SIN(RADIANS(G42-E42)/2)^2)),1)</f>
        <v/>
      </c>
      <c r="I42" s="10" t="inlineStr">
        <is>
          <t>unknown</t>
        </is>
      </c>
      <c r="J42" s="10" t="inlineStr">
        <is>
          <t>unknown</t>
        </is>
      </c>
      <c r="K42" s="10" t="inlineStr">
        <is>
          <t>unknown</t>
        </is>
      </c>
      <c r="L42" s="10" t="inlineStr"/>
      <c r="M42" s="10" t="inlineStr"/>
      <c r="N42" s="10" t="inlineStr">
        <is>
          <t>no</t>
        </is>
      </c>
      <c r="O42" s="10" t="inlineStr"/>
      <c r="P42" s="10" t="inlineStr">
        <is>
          <t>outdoor</t>
        </is>
      </c>
      <c r="Q42" s="10" t="inlineStr">
        <is>
          <t>inferred</t>
        </is>
      </c>
      <c r="R42" s="10" t="inlineStr"/>
      <c r="S42" s="10">
        <f>IF(OR(Q42="official",Q42="field_verified"),"CONFIRMED","UNKNOWN")</f>
        <v/>
      </c>
      <c r="T42" s="10" t="inlineStr">
        <is>
          <t>Perimeter link. NOT surveyed.</t>
        </is>
      </c>
    </row>
    <row r="43">
      <c r="A43" s="10" t="inlineStr">
        <is>
          <t>SEG-P12</t>
        </is>
      </c>
      <c r="B43" s="10" t="inlineStr">
        <is>
          <t>N-KELLY-E1</t>
        </is>
      </c>
      <c r="C43" s="10" t="inlineStr">
        <is>
          <t>N-KELLY-E2</t>
        </is>
      </c>
      <c r="D43" s="11" t="n">
        <v>37.230936</v>
      </c>
      <c r="E43" s="11" t="n">
        <v>-80.422127</v>
      </c>
      <c r="F43" s="11" t="n">
        <v>37.23103</v>
      </c>
      <c r="G43" s="11" t="n">
        <v>-80.42279600000001</v>
      </c>
      <c r="H43" s="13">
        <f>ROUND(6371000*2*ASIN(SQRT(SIN(RADIANS(F43-D43)/2)^2+COS(RADIANS(D43))*COS(RADIANS(F43))*SIN(RADIANS(G43-E43)/2)^2)),1)</f>
        <v/>
      </c>
      <c r="I43" s="10" t="inlineStr">
        <is>
          <t>unknown</t>
        </is>
      </c>
      <c r="J43" s="10" t="inlineStr">
        <is>
          <t>unknown</t>
        </is>
      </c>
      <c r="K43" s="10" t="inlineStr">
        <is>
          <t>unknown</t>
        </is>
      </c>
      <c r="L43" s="10" t="inlineStr"/>
      <c r="M43" s="10" t="inlineStr"/>
      <c r="N43" s="10" t="inlineStr">
        <is>
          <t>no</t>
        </is>
      </c>
      <c r="O43" s="10" t="inlineStr"/>
      <c r="P43" s="10" t="inlineStr">
        <is>
          <t>outdoor</t>
        </is>
      </c>
      <c r="Q43" s="10" t="inlineStr">
        <is>
          <t>inferred</t>
        </is>
      </c>
      <c r="R43" s="10" t="inlineStr"/>
      <c r="S43" s="10">
        <f>IF(OR(Q43="official",Q43="field_verified"),"CONFIRMED","UNKNOWN")</f>
        <v/>
      </c>
      <c r="T43" s="10" t="inlineStr">
        <is>
          <t>Perimeter link. NOT surveyed.</t>
        </is>
      </c>
    </row>
    <row r="44">
      <c r="A44" s="10" t="inlineStr">
        <is>
          <t>SEG-P13</t>
        </is>
      </c>
      <c r="B44" s="10" t="inlineStr">
        <is>
          <t>N-CFA-E1</t>
        </is>
      </c>
      <c r="C44" s="10" t="inlineStr">
        <is>
          <t>N-CFA-E2</t>
        </is>
      </c>
      <c r="D44" s="11" t="n">
        <v>37.231985</v>
      </c>
      <c r="E44" s="11" t="n">
        <v>-80.417812</v>
      </c>
      <c r="F44" s="11" t="n">
        <v>37.23234</v>
      </c>
      <c r="G44" s="11" t="n">
        <v>-80.417176</v>
      </c>
      <c r="H44" s="13">
        <f>ROUND(6371000*2*ASIN(SQRT(SIN(RADIANS(F44-D44)/2)^2+COS(RADIANS(D44))*COS(RADIANS(F44))*SIN(RADIANS(G44-E44)/2)^2)),1)</f>
        <v/>
      </c>
      <c r="I44" s="10" t="inlineStr">
        <is>
          <t>unknown</t>
        </is>
      </c>
      <c r="J44" s="10" t="inlineStr">
        <is>
          <t>unknown</t>
        </is>
      </c>
      <c r="K44" s="10" t="inlineStr">
        <is>
          <t>unknown</t>
        </is>
      </c>
      <c r="L44" s="10" t="inlineStr"/>
      <c r="M44" s="10" t="inlineStr"/>
      <c r="N44" s="10" t="inlineStr">
        <is>
          <t>no</t>
        </is>
      </c>
      <c r="O44" s="10" t="inlineStr"/>
      <c r="P44" s="10" t="inlineStr">
        <is>
          <t>outdoor</t>
        </is>
      </c>
      <c r="Q44" s="10" t="inlineStr">
        <is>
          <t>inferred</t>
        </is>
      </c>
      <c r="R44" s="10" t="inlineStr"/>
      <c r="S44" s="10">
        <f>IF(OR(Q44="official",Q44="field_verified"),"CONFIRMED","UNKNOWN")</f>
        <v/>
      </c>
      <c r="T44" s="10" t="inlineStr">
        <is>
          <t>Perimeter link. NOT surveyed.</t>
        </is>
      </c>
    </row>
    <row r="45">
      <c r="A45" s="10" t="inlineStr">
        <is>
          <t>SEG-P14</t>
        </is>
      </c>
      <c r="B45" s="10" t="inlineStr">
        <is>
          <t>N-HITT-E1</t>
        </is>
      </c>
      <c r="C45" s="10" t="inlineStr">
        <is>
          <t>N-HITT-E2</t>
        </is>
      </c>
      <c r="D45" s="11" t="n">
        <v>37.231046</v>
      </c>
      <c r="E45" s="11" t="n">
        <v>-80.427678</v>
      </c>
      <c r="F45" s="11" t="n">
        <v>37.231462</v>
      </c>
      <c r="G45" s="11" t="n">
        <v>-80.427155</v>
      </c>
      <c r="H45" s="13">
        <f>ROUND(6371000*2*ASIN(SQRT(SIN(RADIANS(F45-D45)/2)^2+COS(RADIANS(D45))*COS(RADIANS(F45))*SIN(RADIANS(G45-E45)/2)^2)),1)</f>
        <v/>
      </c>
      <c r="I45" s="10" t="inlineStr">
        <is>
          <t>unknown</t>
        </is>
      </c>
      <c r="J45" s="10" t="inlineStr">
        <is>
          <t>unknown</t>
        </is>
      </c>
      <c r="K45" s="10" t="inlineStr">
        <is>
          <t>unknown</t>
        </is>
      </c>
      <c r="L45" s="10" t="inlineStr"/>
      <c r="M45" s="10" t="inlineStr"/>
      <c r="N45" s="10" t="inlineStr">
        <is>
          <t>no</t>
        </is>
      </c>
      <c r="O45" s="10" t="inlineStr"/>
      <c r="P45" s="10" t="inlineStr">
        <is>
          <t>outdoor</t>
        </is>
      </c>
      <c r="Q45" s="10" t="inlineStr">
        <is>
          <t>inferred</t>
        </is>
      </c>
      <c r="R45" s="10" t="inlineStr"/>
      <c r="S45" s="10">
        <f>IF(OR(Q45="official",Q45="field_verified"),"CONFIRMED","UNKNOWN")</f>
        <v/>
      </c>
      <c r="T45" s="10" t="inlineStr">
        <is>
          <t>Perimeter link. NOT surveyed.</t>
        </is>
      </c>
    </row>
    <row r="46">
      <c r="A46" s="10" t="inlineStr">
        <is>
          <t>SEG-031</t>
        </is>
      </c>
      <c r="B46" s="10" t="inlineStr">
        <is>
          <t>N-HITT-E1</t>
        </is>
      </c>
      <c r="C46" s="10" t="inlineStr">
        <is>
          <t>J-WCD-N</t>
        </is>
      </c>
      <c r="D46" s="11" t="n">
        <v>37.231046</v>
      </c>
      <c r="E46" s="11" t="n">
        <v>-80.427678</v>
      </c>
      <c r="F46" s="11" t="n">
        <v>37.230124</v>
      </c>
      <c r="G46" s="11" t="n">
        <v>-80.4265</v>
      </c>
      <c r="H46" s="13">
        <f>ROUND(6371000*2*ASIN(SQRT(SIN(RADIANS(F46-D46)/2)^2+COS(RADIANS(D46))*COS(RADIANS(F46))*SIN(RADIANS(G46-E46)/2)^2)),1)</f>
        <v/>
      </c>
      <c r="I46" s="10" t="inlineStr">
        <is>
          <t>unknown</t>
        </is>
      </c>
      <c r="J46" s="10" t="inlineStr">
        <is>
          <t>unknown</t>
        </is>
      </c>
      <c r="K46" s="10" t="inlineStr">
        <is>
          <t>paved</t>
        </is>
      </c>
      <c r="L46" s="10" t="inlineStr"/>
      <c r="M46" s="10" t="inlineStr"/>
      <c r="N46" s="10" t="inlineStr">
        <is>
          <t>no</t>
        </is>
      </c>
      <c r="O46" s="10" t="inlineStr"/>
      <c r="P46" s="10" t="inlineStr">
        <is>
          <t>outdoor</t>
        </is>
      </c>
      <c r="Q46" s="10" t="inlineStr">
        <is>
          <t>inferred</t>
        </is>
      </c>
      <c r="R46" s="10" t="inlineStr"/>
      <c r="S46" s="10">
        <f>IF(OR(Q46="official",Q46="field_verified"),"CONFIRMED","UNKNOWN")</f>
        <v/>
      </c>
      <c r="T46" s="10" t="inlineStr">
        <is>
          <t>West Campus Drive footway. NOT surveyed.</t>
        </is>
      </c>
    </row>
    <row r="47">
      <c r="A47" s="10" t="inlineStr">
        <is>
          <t>SEG-032</t>
        </is>
      </c>
      <c r="B47" s="10" t="inlineStr">
        <is>
          <t>J-WCD-N</t>
        </is>
      </c>
      <c r="C47" s="10" t="inlineStr">
        <is>
          <t>N-DERRING-EN</t>
        </is>
      </c>
      <c r="D47" s="11" t="n">
        <v>37.230124</v>
      </c>
      <c r="E47" s="11" t="n">
        <v>-80.4265</v>
      </c>
      <c r="F47" s="11" t="n">
        <v>37.22946</v>
      </c>
      <c r="G47" s="11" t="n">
        <v>-80.425774</v>
      </c>
      <c r="H47" s="13">
        <f>ROUND(6371000*2*ASIN(SQRT(SIN(RADIANS(F47-D47)/2)^2+COS(RADIANS(D47))*COS(RADIANS(F47))*SIN(RADIANS(G47-E47)/2)^2)),1)</f>
        <v/>
      </c>
      <c r="I47" s="10" t="inlineStr">
        <is>
          <t>unknown</t>
        </is>
      </c>
      <c r="J47" s="10" t="inlineStr">
        <is>
          <t>unknown</t>
        </is>
      </c>
      <c r="K47" s="10" t="inlineStr">
        <is>
          <t>paved</t>
        </is>
      </c>
      <c r="L47" s="10" t="inlineStr"/>
      <c r="M47" s="10" t="inlineStr"/>
      <c r="N47" s="10" t="inlineStr">
        <is>
          <t>no</t>
        </is>
      </c>
      <c r="O47" s="10" t="inlineStr"/>
      <c r="P47" s="10" t="inlineStr">
        <is>
          <t>outdoor</t>
        </is>
      </c>
      <c r="Q47" s="10" t="inlineStr">
        <is>
          <t>inferred</t>
        </is>
      </c>
      <c r="R47" s="10" t="inlineStr"/>
      <c r="S47" s="10">
        <f>IF(OR(Q47="official",Q47="field_verified"),"CONFIRMED","UNKNOWN")</f>
        <v/>
      </c>
      <c r="T47" s="10" t="inlineStr">
        <is>
          <t>Approach to Derring north side. NOT surveyed.</t>
        </is>
      </c>
    </row>
    <row r="48">
      <c r="A48" s="10" t="inlineStr">
        <is>
          <t>SEG-033</t>
        </is>
      </c>
      <c r="B48" s="10" t="inlineStr">
        <is>
          <t>N-DERRING-EN</t>
        </is>
      </c>
      <c r="C48" s="10" t="inlineStr">
        <is>
          <t>J-DERRING-NE</t>
        </is>
      </c>
      <c r="D48" s="11" t="n">
        <v>37.22946</v>
      </c>
      <c r="E48" s="11" t="n">
        <v>-80.425774</v>
      </c>
      <c r="F48" s="11" t="n">
        <v>37.229668</v>
      </c>
      <c r="G48" s="11" t="n">
        <v>-80.424935</v>
      </c>
      <c r="H48" s="13">
        <f>ROUND(6371000*2*ASIN(SQRT(SIN(RADIANS(F48-D48)/2)^2+COS(RADIANS(D48))*COS(RADIANS(F48))*SIN(RADIANS(G48-E48)/2)^2)),1)</f>
        <v/>
      </c>
      <c r="I48" s="10" t="inlineStr">
        <is>
          <t>unknown</t>
        </is>
      </c>
      <c r="J48" s="10" t="inlineStr">
        <is>
          <t>unknown</t>
        </is>
      </c>
      <c r="K48" s="10" t="inlineStr">
        <is>
          <t>unknown</t>
        </is>
      </c>
      <c r="L48" s="10" t="inlineStr"/>
      <c r="M48" s="10" t="inlineStr"/>
      <c r="N48" s="10" t="inlineStr">
        <is>
          <t>no</t>
        </is>
      </c>
      <c r="O48" s="10" t="inlineStr"/>
      <c r="P48" s="10" t="inlineStr">
        <is>
          <t>outdoor</t>
        </is>
      </c>
      <c r="Q48" s="10" t="inlineStr">
        <is>
          <t>inferred</t>
        </is>
      </c>
      <c r="R48" s="10" t="inlineStr"/>
      <c r="S48" s="10">
        <f>IF(OR(Q48="official",Q48="field_verified"),"CONFIRMED","UNKNOWN")</f>
        <v/>
      </c>
      <c r="T48" s="10" t="inlineStr">
        <is>
          <t>AROUND the north-east corner of Derring. This is the leg the cut-through skips.</t>
        </is>
      </c>
    </row>
    <row r="49">
      <c r="A49" s="10" t="inlineStr">
        <is>
          <t>SEG-034</t>
        </is>
      </c>
      <c r="B49" s="10" t="inlineStr">
        <is>
          <t>J-DERRING-NE</t>
        </is>
      </c>
      <c r="C49" s="10" t="inlineStr">
        <is>
          <t>N-DERRING-EE</t>
        </is>
      </c>
      <c r="D49" s="11" t="n">
        <v>37.229668</v>
      </c>
      <c r="E49" s="11" t="n">
        <v>-80.424935</v>
      </c>
      <c r="F49" s="11" t="n">
        <v>37.229041</v>
      </c>
      <c r="G49" s="11" t="n">
        <v>-80.425037</v>
      </c>
      <c r="H49" s="13">
        <f>ROUND(6371000*2*ASIN(SQRT(SIN(RADIANS(F49-D49)/2)^2+COS(RADIANS(D49))*COS(RADIANS(F49))*SIN(RADIANS(G49-E49)/2)^2)),1)</f>
        <v/>
      </c>
      <c r="I49" s="10" t="inlineStr">
        <is>
          <t>unknown</t>
        </is>
      </c>
      <c r="J49" s="10" t="inlineStr">
        <is>
          <t>unknown</t>
        </is>
      </c>
      <c r="K49" s="10" t="inlineStr">
        <is>
          <t>unknown</t>
        </is>
      </c>
      <c r="L49" s="10" t="inlineStr"/>
      <c r="M49" s="10" t="inlineStr"/>
      <c r="N49" s="10" t="inlineStr">
        <is>
          <t>no</t>
        </is>
      </c>
      <c r="O49" s="10" t="inlineStr"/>
      <c r="P49" s="10" t="inlineStr">
        <is>
          <t>outdoor</t>
        </is>
      </c>
      <c r="Q49" s="10" t="inlineStr">
        <is>
          <t>inferred</t>
        </is>
      </c>
      <c r="R49" s="10" t="inlineStr"/>
      <c r="S49" s="10">
        <f>IF(OR(Q49="official",Q49="field_verified"),"CONFIRMED","UNKNOWN")</f>
        <v/>
      </c>
      <c r="T49" s="10" t="inlineStr">
        <is>
          <t>AROUND the north-east corner of Derring.</t>
        </is>
      </c>
    </row>
    <row r="50">
      <c r="A50" s="10" t="inlineStr">
        <is>
          <t>SEG-035</t>
        </is>
      </c>
      <c r="B50" s="10" t="inlineStr">
        <is>
          <t>N-DERRING-EE</t>
        </is>
      </c>
      <c r="C50" s="10" t="inlineStr">
        <is>
          <t>N-PAMPLIN-EW</t>
        </is>
      </c>
      <c r="D50" s="11" t="n">
        <v>37.229041</v>
      </c>
      <c r="E50" s="11" t="n">
        <v>-80.425037</v>
      </c>
      <c r="F50" s="11" t="n">
        <v>37.228727</v>
      </c>
      <c r="G50" s="11" t="n">
        <v>-80.425093</v>
      </c>
      <c r="H50" s="13">
        <f>ROUND(6371000*2*ASIN(SQRT(SIN(RADIANS(F50-D50)/2)^2+COS(RADIANS(D50))*COS(RADIANS(F50))*SIN(RADIANS(G50-E50)/2)^2)),1)</f>
        <v/>
      </c>
      <c r="I50" s="10" t="inlineStr">
        <is>
          <t>unknown</t>
        </is>
      </c>
      <c r="J50" s="10" t="inlineStr">
        <is>
          <t>unknown</t>
        </is>
      </c>
      <c r="K50" s="10" t="inlineStr">
        <is>
          <t>paved</t>
        </is>
      </c>
      <c r="L50" s="10" t="inlineStr"/>
      <c r="M50" s="10" t="inlineStr"/>
      <c r="N50" s="10" t="inlineStr">
        <is>
          <t>no</t>
        </is>
      </c>
      <c r="O50" s="10" t="inlineStr"/>
      <c r="P50" s="10" t="inlineStr">
        <is>
          <t>outdoor</t>
        </is>
      </c>
      <c r="Q50" s="10" t="inlineStr">
        <is>
          <t>inferred</t>
        </is>
      </c>
      <c r="R50" s="10" t="inlineStr"/>
      <c r="S50" s="10">
        <f>IF(OR(Q50="official",Q50="field_verified"),"CONFIRMED","UNKNOWN")</f>
        <v/>
      </c>
      <c r="T50" s="10" t="inlineStr">
        <is>
          <t>Short link between Derring and Pamplin. NOT surveyed.</t>
        </is>
      </c>
    </row>
    <row r="51">
      <c r="A51" s="10" t="inlineStr">
        <is>
          <t>SEG-036</t>
        </is>
      </c>
      <c r="B51" s="10" t="inlineStr">
        <is>
          <t>N-PAMPLIN-EW</t>
        </is>
      </c>
      <c r="C51" s="10" t="inlineStr">
        <is>
          <t>N-PAMPLIN-EN</t>
        </is>
      </c>
      <c r="D51" s="11" t="n">
        <v>37.228727</v>
      </c>
      <c r="E51" s="11" t="n">
        <v>-80.425093</v>
      </c>
      <c r="F51" s="11" t="n">
        <v>37.229115</v>
      </c>
      <c r="G51" s="11" t="n">
        <v>-80.424458</v>
      </c>
      <c r="H51" s="13">
        <f>ROUND(6371000*2*ASIN(SQRT(SIN(RADIANS(F51-D51)/2)^2+COS(RADIANS(D51))*COS(RADIANS(F51))*SIN(RADIANS(G51-E51)/2)^2)),1)</f>
        <v/>
      </c>
      <c r="I51" s="10" t="inlineStr">
        <is>
          <t>unknown</t>
        </is>
      </c>
      <c r="J51" s="10" t="inlineStr">
        <is>
          <t>unknown</t>
        </is>
      </c>
      <c r="K51" s="10" t="inlineStr">
        <is>
          <t>unknown</t>
        </is>
      </c>
      <c r="L51" s="10" t="inlineStr"/>
      <c r="M51" s="10" t="inlineStr"/>
      <c r="N51" s="10" t="inlineStr">
        <is>
          <t>no</t>
        </is>
      </c>
      <c r="O51" s="10" t="inlineStr"/>
      <c r="P51" s="10" t="inlineStr">
        <is>
          <t>outdoor</t>
        </is>
      </c>
      <c r="Q51" s="10" t="inlineStr">
        <is>
          <t>inferred</t>
        </is>
      </c>
      <c r="R51" s="10" t="inlineStr"/>
      <c r="S51" s="10">
        <f>IF(OR(Q51="official",Q51="field_verified"),"CONFIRMED","UNKNOWN")</f>
        <v/>
      </c>
      <c r="T51" s="10" t="inlineStr">
        <is>
          <t>Perimeter link. NOT surveyed.</t>
        </is>
      </c>
    </row>
    <row r="52">
      <c r="A52" s="10" t="inlineStr">
        <is>
          <t>SEG-037</t>
        </is>
      </c>
      <c r="B52" s="10" t="inlineStr">
        <is>
          <t>N-DERRING-EN</t>
        </is>
      </c>
      <c r="C52" s="10" t="inlineStr">
        <is>
          <t>J-DERRING-SW</t>
        </is>
      </c>
      <c r="D52" s="11" t="n">
        <v>37.22946</v>
      </c>
      <c r="E52" s="11" t="n">
        <v>-80.425774</v>
      </c>
      <c r="F52" s="11" t="n">
        <v>37.228432</v>
      </c>
      <c r="G52" s="11" t="n">
        <v>-80.42617</v>
      </c>
      <c r="H52" s="13">
        <f>ROUND(6371000*2*ASIN(SQRT(SIN(RADIANS(F52-D52)/2)^2+COS(RADIANS(D52))*COS(RADIANS(F52))*SIN(RADIANS(G52-E52)/2)^2)),1)</f>
        <v/>
      </c>
      <c r="I52" s="10" t="inlineStr">
        <is>
          <t>unknown</t>
        </is>
      </c>
      <c r="J52" s="10" t="inlineStr">
        <is>
          <t>unknown</t>
        </is>
      </c>
      <c r="K52" s="10" t="inlineStr">
        <is>
          <t>unknown</t>
        </is>
      </c>
      <c r="L52" s="10" t="inlineStr"/>
      <c r="M52" s="10" t="inlineStr"/>
      <c r="N52" s="10" t="inlineStr">
        <is>
          <t>no</t>
        </is>
      </c>
      <c r="O52" s="10" t="inlineStr"/>
      <c r="P52" s="10" t="inlineStr">
        <is>
          <t>outdoor</t>
        </is>
      </c>
      <c r="Q52" s="10" t="inlineStr">
        <is>
          <t>inferred</t>
        </is>
      </c>
      <c r="R52" s="10" t="inlineStr"/>
      <c r="S52" s="10">
        <f>IF(OR(Q52="official",Q52="field_verified"),"CONFIRMED","UNKNOWN")</f>
        <v/>
      </c>
      <c r="T52" s="10" t="inlineStr">
        <is>
          <t>AROUND the south-west side of Derring.</t>
        </is>
      </c>
    </row>
    <row r="53">
      <c r="A53" s="10" t="inlineStr">
        <is>
          <t>SEG-038</t>
        </is>
      </c>
      <c r="B53" s="10" t="inlineStr">
        <is>
          <t>J-DERRING-SW</t>
        </is>
      </c>
      <c r="C53" s="10" t="inlineStr">
        <is>
          <t>N-DERRING-EE</t>
        </is>
      </c>
      <c r="D53" s="11" t="n">
        <v>37.228432</v>
      </c>
      <c r="E53" s="11" t="n">
        <v>-80.42617</v>
      </c>
      <c r="F53" s="11" t="n">
        <v>37.229041</v>
      </c>
      <c r="G53" s="11" t="n">
        <v>-80.425037</v>
      </c>
      <c r="H53" s="13">
        <f>ROUND(6371000*2*ASIN(SQRT(SIN(RADIANS(F53-D53)/2)^2+COS(RADIANS(D53))*COS(RADIANS(F53))*SIN(RADIANS(G53-E53)/2)^2)),1)</f>
        <v/>
      </c>
      <c r="I53" s="10" t="inlineStr">
        <is>
          <t>unknown</t>
        </is>
      </c>
      <c r="J53" s="10" t="inlineStr">
        <is>
          <t>unknown</t>
        </is>
      </c>
      <c r="K53" s="10" t="inlineStr">
        <is>
          <t>unknown</t>
        </is>
      </c>
      <c r="L53" s="10" t="inlineStr"/>
      <c r="M53" s="10" t="inlineStr"/>
      <c r="N53" s="10" t="inlineStr">
        <is>
          <t>no</t>
        </is>
      </c>
      <c r="O53" s="10" t="inlineStr"/>
      <c r="P53" s="10" t="inlineStr">
        <is>
          <t>outdoor</t>
        </is>
      </c>
      <c r="Q53" s="10" t="inlineStr">
        <is>
          <t>inferred</t>
        </is>
      </c>
      <c r="R53" s="10" t="inlineStr"/>
      <c r="S53" s="10">
        <f>IF(OR(Q53="official",Q53="field_verified"),"CONFIRMED","UNKNOWN")</f>
        <v/>
      </c>
      <c r="T53" s="10" t="inlineStr">
        <is>
          <t>AROUND the south-west side of Derring.</t>
        </is>
      </c>
    </row>
    <row r="54">
      <c r="A54" s="10" t="inlineStr">
        <is>
          <t>SEG-039</t>
        </is>
      </c>
      <c r="B54" s="10" t="inlineStr">
        <is>
          <t>N-PAMPLIN-EN</t>
        </is>
      </c>
      <c r="C54" s="10" t="inlineStr">
        <is>
          <t>J-DF-NW</t>
        </is>
      </c>
      <c r="D54" s="11" t="n">
        <v>37.229115</v>
      </c>
      <c r="E54" s="11" t="n">
        <v>-80.424458</v>
      </c>
      <c r="F54" s="11" t="n">
        <v>37.229325</v>
      </c>
      <c r="G54" s="11" t="n">
        <v>-80.423867</v>
      </c>
      <c r="H54" s="13">
        <f>ROUND(6371000*2*ASIN(SQRT(SIN(RADIANS(F54-D54)/2)^2+COS(RADIANS(D54))*COS(RADIANS(F54))*SIN(RADIANS(G54-E54)/2)^2)),1)</f>
        <v/>
      </c>
      <c r="I54" s="10" t="inlineStr">
        <is>
          <t>unknown</t>
        </is>
      </c>
      <c r="J54" s="10" t="inlineStr">
        <is>
          <t>unknown</t>
        </is>
      </c>
      <c r="K54" s="10" t="inlineStr">
        <is>
          <t>unknown</t>
        </is>
      </c>
      <c r="L54" s="10" t="inlineStr"/>
      <c r="M54" s="10" t="inlineStr"/>
      <c r="N54" s="10" t="inlineStr">
        <is>
          <t>no</t>
        </is>
      </c>
      <c r="O54" s="10" t="inlineStr"/>
      <c r="P54" s="10" t="inlineStr">
        <is>
          <t>outdoor</t>
        </is>
      </c>
      <c r="Q54" s="10" t="inlineStr">
        <is>
          <t>inferred</t>
        </is>
      </c>
      <c r="R54" s="10" t="inlineStr"/>
      <c r="S54" s="10">
        <f>IF(OR(Q54="official",Q54="field_verified"),"CONFIRMED","UNKNOWN")</f>
        <v/>
      </c>
      <c r="T54" s="10" t="inlineStr">
        <is>
          <t>Pamplin toward the Drillfield north-west. NOT surveyed.</t>
        </is>
      </c>
    </row>
    <row r="55">
      <c r="A55" s="10" t="inlineStr">
        <is>
          <t>SEG-040</t>
        </is>
      </c>
      <c r="B55" s="10" t="inlineStr">
        <is>
          <t>J-DERRING-SW</t>
        </is>
      </c>
      <c r="C55" s="10" t="inlineStr">
        <is>
          <t>N-HANCOCK-E1</t>
        </is>
      </c>
      <c r="D55" s="11" t="n">
        <v>37.228432</v>
      </c>
      <c r="E55" s="11" t="n">
        <v>-80.42617</v>
      </c>
      <c r="F55" s="11" t="n">
        <v>37.230135</v>
      </c>
      <c r="G55" s="11" t="n">
        <v>-80.42462999999999</v>
      </c>
      <c r="H55" s="13">
        <f>ROUND(6371000*2*ASIN(SQRT(SIN(RADIANS(F55-D55)/2)^2+COS(RADIANS(D55))*COS(RADIANS(F55))*SIN(RADIANS(G55-E55)/2)^2)),1)</f>
        <v/>
      </c>
      <c r="I55" s="10" t="inlineStr">
        <is>
          <t>unknown</t>
        </is>
      </c>
      <c r="J55" s="10" t="inlineStr">
        <is>
          <t>unknown</t>
        </is>
      </c>
      <c r="K55" s="10" t="inlineStr">
        <is>
          <t>unknown</t>
        </is>
      </c>
      <c r="L55" s="10" t="inlineStr"/>
      <c r="M55" s="10" t="inlineStr"/>
      <c r="N55" s="10" t="inlineStr">
        <is>
          <t>no</t>
        </is>
      </c>
      <c r="O55" s="10" t="inlineStr"/>
      <c r="P55" s="10" t="inlineStr">
        <is>
          <t>outdoor</t>
        </is>
      </c>
      <c r="Q55" s="10" t="inlineStr">
        <is>
          <t>inferred</t>
        </is>
      </c>
      <c r="R55" s="10" t="inlineStr"/>
      <c r="S55" s="10">
        <f>IF(OR(Q55="official",Q55="field_verified"),"CONFIRMED","UNKNOWN")</f>
        <v/>
      </c>
      <c r="T55" s="10" t="inlineStr">
        <is>
          <t>Derring toward Hancock. NOT surveyed.</t>
        </is>
      </c>
    </row>
    <row r="56">
      <c r="A56" s="7" t="inlineStr">
        <is>
          <t>IND-DERRING-1</t>
        </is>
      </c>
      <c r="B56" s="7" t="inlineStr">
        <is>
          <t>N-DERRING-EN</t>
        </is>
      </c>
      <c r="C56" s="7" t="inlineStr">
        <is>
          <t>N-DERRING-EE</t>
        </is>
      </c>
      <c r="D56" s="8" t="n">
        <v>37.22946</v>
      </c>
      <c r="E56" s="8" t="n">
        <v>-80.425774</v>
      </c>
      <c r="F56" s="8" t="n">
        <v>37.229041</v>
      </c>
      <c r="G56" s="8" t="n">
        <v>-80.425037</v>
      </c>
      <c r="H56" s="14">
        <f>ROUND(6371000*2*ASIN(SQRT(SIN(RADIANS(F56-D56)/2)^2+COS(RADIANS(D56))*COS(RADIANS(F56))*SIN(RADIANS(G56-E56)/2)^2)),1)</f>
        <v/>
      </c>
      <c r="I56" s="7" t="inlineStr">
        <is>
          <t>unknown</t>
        </is>
      </c>
      <c r="J56" s="7" t="inlineStr">
        <is>
          <t>unknown</t>
        </is>
      </c>
      <c r="K56" s="7" t="inlineStr">
        <is>
          <t>indoor</t>
        </is>
      </c>
      <c r="L56" s="7" t="inlineStr"/>
      <c r="M56" s="7" t="inlineStr"/>
      <c r="N56" s="7" t="inlineStr">
        <is>
          <t>yes</t>
        </is>
      </c>
      <c r="O56" s="7" t="inlineStr">
        <is>
          <t>unknown</t>
        </is>
      </c>
      <c r="P56" s="7" t="inlineStr">
        <is>
          <t>unknown</t>
        </is>
      </c>
      <c r="Q56" s="7" t="inlineStr">
        <is>
          <t>inferred</t>
        </is>
      </c>
      <c r="R56" s="7" t="inlineStr"/>
      <c r="S56" s="7">
        <f>IF(OR(Q56="official",Q56="field_verified"),"CONFIRMED","UNKNOWN")</f>
        <v/>
      </c>
      <c r="T56" s="7" t="inlineStr">
        <is>
          <t>THE DEMO EDGE. Cut through Derring north-to-east instead of walking the corner. Derring is 208,000 sq ft, VT's largest undergraduate science lab building, so the corner walk is long. Interior route, hours and swipe policy are ALL unverified.</t>
        </is>
      </c>
    </row>
    <row r="57">
      <c r="A57" s="7" t="inlineStr">
        <is>
          <t>IND-HITT-1</t>
        </is>
      </c>
      <c r="B57" s="7" t="inlineStr">
        <is>
          <t>N-HITT-E1</t>
        </is>
      </c>
      <c r="C57" s="7" t="inlineStr">
        <is>
          <t>N-HITT-E2</t>
        </is>
      </c>
      <c r="D57" s="8" t="n">
        <v>37.231046</v>
      </c>
      <c r="E57" s="8" t="n">
        <v>-80.427678</v>
      </c>
      <c r="F57" s="8" t="n">
        <v>37.231462</v>
      </c>
      <c r="G57" s="8" t="n">
        <v>-80.427155</v>
      </c>
      <c r="H57" s="14">
        <f>ROUND(6371000*2*ASIN(SQRT(SIN(RADIANS(F57-D57)/2)^2+COS(RADIANS(D57))*COS(RADIANS(F57))*SIN(RADIANS(G57-E57)/2)^2)),1)</f>
        <v/>
      </c>
      <c r="I57" s="7" t="inlineStr">
        <is>
          <t>unknown</t>
        </is>
      </c>
      <c r="J57" s="7" t="inlineStr">
        <is>
          <t>unknown</t>
        </is>
      </c>
      <c r="K57" s="7" t="inlineStr">
        <is>
          <t>indoor</t>
        </is>
      </c>
      <c r="L57" s="7" t="inlineStr"/>
      <c r="M57" s="7" t="inlineStr"/>
      <c r="N57" s="7" t="inlineStr">
        <is>
          <t>yes</t>
        </is>
      </c>
      <c r="O57" s="7" t="inlineStr">
        <is>
          <t>unknown</t>
        </is>
      </c>
      <c r="P57" s="7" t="inlineStr">
        <is>
          <t>unknown</t>
        </is>
      </c>
      <c r="Q57" s="7" t="inlineStr">
        <is>
          <t>inferred</t>
        </is>
      </c>
      <c r="R57" s="7" t="inlineStr"/>
      <c r="S57" s="7">
        <f>IF(OR(Q57="official",Q57="field_verified"),"CONFIRMED","UNKNOWN")</f>
        <v/>
      </c>
      <c r="T57" s="7" t="inlineStr">
        <is>
          <t>Through Hitt Hall past Perry Place. Dining hall hours will differ from building hours - do not assume they match.</t>
        </is>
      </c>
    </row>
    <row r="58">
      <c r="A58" s="7" t="inlineStr">
        <is>
          <t>IND-TORG-1</t>
        </is>
      </c>
      <c r="B58" s="7" t="inlineStr">
        <is>
          <t>N-TORGERSEN-E1</t>
        </is>
      </c>
      <c r="C58" s="7" t="inlineStr">
        <is>
          <t>N-TORGERSEN-E2</t>
        </is>
      </c>
      <c r="D58" s="8" t="n">
        <v>37.229456</v>
      </c>
      <c r="E58" s="8" t="n">
        <v>-80.41997000000001</v>
      </c>
      <c r="F58" s="8" t="n">
        <v>37.230104</v>
      </c>
      <c r="G58" s="8" t="n">
        <v>-80.41997000000001</v>
      </c>
      <c r="H58" s="14">
        <f>ROUND(6371000*2*ASIN(SQRT(SIN(RADIANS(F58-D58)/2)^2+COS(RADIANS(D58))*COS(RADIANS(F58))*SIN(RADIANS(G58-E58)/2)^2)),1)</f>
        <v/>
      </c>
      <c r="I58" s="7" t="inlineStr">
        <is>
          <t>unknown</t>
        </is>
      </c>
      <c r="J58" s="7" t="inlineStr">
        <is>
          <t>unknown</t>
        </is>
      </c>
      <c r="K58" s="7" t="inlineStr">
        <is>
          <t>indoor</t>
        </is>
      </c>
      <c r="L58" s="7" t="inlineStr"/>
      <c r="M58" s="7" t="inlineStr"/>
      <c r="N58" s="7" t="inlineStr">
        <is>
          <t>yes</t>
        </is>
      </c>
      <c r="O58" s="7" t="inlineStr">
        <is>
          <t>unknown</t>
        </is>
      </c>
      <c r="P58" s="7" t="inlineStr">
        <is>
          <t>unknown</t>
        </is>
      </c>
      <c r="Q58" s="7" t="inlineStr">
        <is>
          <t>inferred</t>
        </is>
      </c>
      <c r="R58" s="7" t="inlineStr"/>
      <c r="S58" s="7">
        <f>IF(OR(Q58="official",Q58="field_verified"),"CONFIRMED","UNKNOWN")</f>
        <v/>
      </c>
      <c r="T58" s="7" t="inlineStr">
        <is>
          <t>Through Torgersen Hall.</t>
        </is>
      </c>
    </row>
    <row r="59">
      <c r="A59" s="7" t="inlineStr">
        <is>
          <t>IND-TORG-NEWMAN</t>
        </is>
      </c>
      <c r="B59" s="7" t="inlineStr">
        <is>
          <t>N-TORGERSEN-E1</t>
        </is>
      </c>
      <c r="C59" s="7" t="inlineStr">
        <is>
          <t>N-NEWMAN-LIB-E2</t>
        </is>
      </c>
      <c r="D59" s="8" t="n">
        <v>37.229456</v>
      </c>
      <c r="E59" s="8" t="n">
        <v>-80.41997000000001</v>
      </c>
      <c r="F59" s="8" t="n">
        <v>37.229079</v>
      </c>
      <c r="G59" s="8" t="n">
        <v>-80.419169</v>
      </c>
      <c r="H59" s="14">
        <f>ROUND(6371000*2*ASIN(SQRT(SIN(RADIANS(F59-D59)/2)^2+COS(RADIANS(D59))*COS(RADIANS(F59))*SIN(RADIANS(G59-E59)/2)^2)),1)</f>
        <v/>
      </c>
      <c r="I59" s="7" t="inlineStr">
        <is>
          <t>unknown</t>
        </is>
      </c>
      <c r="J59" s="7" t="inlineStr">
        <is>
          <t>unknown</t>
        </is>
      </c>
      <c r="K59" s="7" t="inlineStr">
        <is>
          <t>indoor</t>
        </is>
      </c>
      <c r="L59" s="7" t="inlineStr"/>
      <c r="M59" s="7" t="inlineStr"/>
      <c r="N59" s="7" t="inlineStr">
        <is>
          <t>yes</t>
        </is>
      </c>
      <c r="O59" s="7" t="inlineStr">
        <is>
          <t>unknown</t>
        </is>
      </c>
      <c r="P59" s="7" t="inlineStr">
        <is>
          <t>unknown</t>
        </is>
      </c>
      <c r="Q59" s="7" t="inlineStr">
        <is>
          <t>inferred</t>
        </is>
      </c>
      <c r="R59" s="7" t="inlineStr"/>
      <c r="S59" s="7">
        <f>IF(OR(Q59="official",Q59="field_verified"),"CONFIRMED","UNKNOWN")</f>
        <v/>
      </c>
      <c r="T59" s="7" t="inlineStr">
        <is>
          <t>Through Torgersen and over the enclosed bridge into Newman Library. Crosses TWO buildings and changes floor (Torgersen 2 -&gt; Newman 3), so it depends on connector VT-TORG-NEWMAN-BRIDGE and on a working lift at each end.</t>
        </is>
      </c>
    </row>
    <row r="60">
      <c r="A60" s="7" t="inlineStr">
        <is>
          <t>IND-SQUIRES-1</t>
        </is>
      </c>
      <c r="B60" s="7" t="inlineStr">
        <is>
          <t>N-SQUIRES-E1</t>
        </is>
      </c>
      <c r="C60" s="7" t="inlineStr">
        <is>
          <t>N-SQUIRES-E2</t>
        </is>
      </c>
      <c r="D60" s="8" t="n">
        <v>37.22962</v>
      </c>
      <c r="E60" s="8" t="n">
        <v>-80.41848</v>
      </c>
      <c r="F60" s="8" t="n">
        <v>37.22998</v>
      </c>
      <c r="G60" s="8" t="n">
        <v>-80.41795999999999</v>
      </c>
      <c r="H60" s="14">
        <f>ROUND(6371000*2*ASIN(SQRT(SIN(RADIANS(F60-D60)/2)^2+COS(RADIANS(D60))*COS(RADIANS(F60))*SIN(RADIANS(G60-E60)/2)^2)),1)</f>
        <v/>
      </c>
      <c r="I60" s="7" t="inlineStr">
        <is>
          <t>unknown</t>
        </is>
      </c>
      <c r="J60" s="7" t="inlineStr">
        <is>
          <t>unknown</t>
        </is>
      </c>
      <c r="K60" s="7" t="inlineStr">
        <is>
          <t>indoor</t>
        </is>
      </c>
      <c r="L60" s="7" t="inlineStr"/>
      <c r="M60" s="7" t="inlineStr"/>
      <c r="N60" s="7" t="inlineStr">
        <is>
          <t>yes</t>
        </is>
      </c>
      <c r="O60" s="7" t="inlineStr">
        <is>
          <t>unknown</t>
        </is>
      </c>
      <c r="P60" s="7" t="inlineStr">
        <is>
          <t>unknown</t>
        </is>
      </c>
      <c r="Q60" s="7" t="inlineStr">
        <is>
          <t>inferred</t>
        </is>
      </c>
      <c r="R60" s="7" t="inlineStr"/>
      <c r="S60" s="7">
        <f>IF(OR(Q60="official",Q60="field_verified"),"CONFIRMED","UNKNOWN")</f>
        <v/>
      </c>
      <c r="T60" s="7" t="inlineStr">
        <is>
          <t>Through Squires between Alumni Mall and College Avenue.</t>
        </is>
      </c>
    </row>
    <row r="61">
      <c r="A61" s="7" t="inlineStr">
        <is>
          <t>IND-MCBRYDE-1</t>
        </is>
      </c>
      <c r="B61" s="7" t="inlineStr">
        <is>
          <t>N-MCBRYDE-EN</t>
        </is>
      </c>
      <c r="C61" s="7" t="inlineStr">
        <is>
          <t>N-MCBRYDE-ES</t>
        </is>
      </c>
      <c r="D61" s="8" t="n">
        <v>37.23098</v>
      </c>
      <c r="E61" s="8" t="n">
        <v>-80.42178</v>
      </c>
      <c r="F61" s="8" t="n">
        <v>37.23026</v>
      </c>
      <c r="G61" s="8" t="n">
        <v>-80.42178</v>
      </c>
      <c r="H61" s="14">
        <f>ROUND(6371000*2*ASIN(SQRT(SIN(RADIANS(F61-D61)/2)^2+COS(RADIANS(D61))*COS(RADIANS(F61))*SIN(RADIANS(G61-E61)/2)^2)),1)</f>
        <v/>
      </c>
      <c r="I61" s="7" t="inlineStr">
        <is>
          <t>unknown</t>
        </is>
      </c>
      <c r="J61" s="7" t="inlineStr">
        <is>
          <t>unknown</t>
        </is>
      </c>
      <c r="K61" s="7" t="inlineStr">
        <is>
          <t>indoor</t>
        </is>
      </c>
      <c r="L61" s="7" t="inlineStr"/>
      <c r="M61" s="7" t="inlineStr"/>
      <c r="N61" s="7" t="inlineStr">
        <is>
          <t>yes</t>
        </is>
      </c>
      <c r="O61" s="7" t="inlineStr">
        <is>
          <t>unknown</t>
        </is>
      </c>
      <c r="P61" s="7" t="inlineStr">
        <is>
          <t>unknown</t>
        </is>
      </c>
      <c r="Q61" s="7" t="inlineStr">
        <is>
          <t>inferred</t>
        </is>
      </c>
      <c r="R61" s="7" t="inlineStr"/>
      <c r="S61" s="7">
        <f>IF(OR(Q61="official",Q61="field_verified"),"CONFIRMED","UNKNOWN")</f>
        <v/>
      </c>
      <c r="T61" s="7" t="inlineStr">
        <is>
          <t>Through McBryde north to south.</t>
        </is>
      </c>
    </row>
    <row r="62">
      <c r="A62" s="7" t="inlineStr">
        <is>
          <t>IND-MCBRYDE-2</t>
        </is>
      </c>
      <c r="B62" s="7" t="inlineStr">
        <is>
          <t>N-MCBRYDE-EW</t>
        </is>
      </c>
      <c r="C62" s="7" t="inlineStr">
        <is>
          <t>N-MCBRYDE-ES</t>
        </is>
      </c>
      <c r="D62" s="8" t="n">
        <v>37.23062</v>
      </c>
      <c r="E62" s="8" t="n">
        <v>-80.42223199999999</v>
      </c>
      <c r="F62" s="8" t="n">
        <v>37.23026</v>
      </c>
      <c r="G62" s="8" t="n">
        <v>-80.42178</v>
      </c>
      <c r="H62" s="14">
        <f>ROUND(6371000*2*ASIN(SQRT(SIN(RADIANS(F62-D62)/2)^2+COS(RADIANS(D62))*COS(RADIANS(F62))*SIN(RADIANS(G62-E62)/2)^2)),1)</f>
        <v/>
      </c>
      <c r="I62" s="7" t="inlineStr">
        <is>
          <t>unknown</t>
        </is>
      </c>
      <c r="J62" s="7" t="inlineStr">
        <is>
          <t>unknown</t>
        </is>
      </c>
      <c r="K62" s="7" t="inlineStr">
        <is>
          <t>indoor</t>
        </is>
      </c>
      <c r="L62" s="7" t="inlineStr"/>
      <c r="M62" s="7" t="inlineStr"/>
      <c r="N62" s="7" t="inlineStr">
        <is>
          <t>yes</t>
        </is>
      </c>
      <c r="O62" s="7" t="inlineStr">
        <is>
          <t>unknown</t>
        </is>
      </c>
      <c r="P62" s="7" t="inlineStr">
        <is>
          <t>unknown</t>
        </is>
      </c>
      <c r="Q62" s="7" t="inlineStr">
        <is>
          <t>inferred</t>
        </is>
      </c>
      <c r="R62" s="7" t="inlineStr"/>
      <c r="S62" s="7">
        <f>IF(OR(Q62="official",Q62="field_verified"),"CONFIRMED","UNKNOWN")</f>
        <v/>
      </c>
      <c r="T62" s="7" t="inlineStr">
        <is>
          <t>Through McBryde west to south.</t>
        </is>
      </c>
    </row>
    <row r="63">
      <c r="A63" s="7" t="inlineStr">
        <is>
          <t>IND-BURRUSS-1</t>
        </is>
      </c>
      <c r="B63" s="7" t="inlineStr">
        <is>
          <t>N-BURRUSS-E1</t>
        </is>
      </c>
      <c r="C63" s="7" t="inlineStr">
        <is>
          <t>N-BURRUSS-E2</t>
        </is>
      </c>
      <c r="D63" s="8" t="n">
        <v>37.228928</v>
      </c>
      <c r="E63" s="8" t="n">
        <v>-80.423198</v>
      </c>
      <c r="F63" s="8" t="n">
        <v>37.229354</v>
      </c>
      <c r="G63" s="8" t="n">
        <v>-80.423632</v>
      </c>
      <c r="H63" s="14">
        <f>ROUND(6371000*2*ASIN(SQRT(SIN(RADIANS(F63-D63)/2)^2+COS(RADIANS(D63))*COS(RADIANS(F63))*SIN(RADIANS(G63-E63)/2)^2)),1)</f>
        <v/>
      </c>
      <c r="I63" s="7" t="inlineStr">
        <is>
          <t>unknown</t>
        </is>
      </c>
      <c r="J63" s="7" t="inlineStr">
        <is>
          <t>unknown</t>
        </is>
      </c>
      <c r="K63" s="7" t="inlineStr">
        <is>
          <t>indoor</t>
        </is>
      </c>
      <c r="L63" s="7" t="inlineStr"/>
      <c r="M63" s="7" t="inlineStr"/>
      <c r="N63" s="7" t="inlineStr">
        <is>
          <t>yes</t>
        </is>
      </c>
      <c r="O63" s="7" t="inlineStr">
        <is>
          <t>unknown</t>
        </is>
      </c>
      <c r="P63" s="7" t="inlineStr">
        <is>
          <t>unknown</t>
        </is>
      </c>
      <c r="Q63" s="7" t="inlineStr">
        <is>
          <t>inferred</t>
        </is>
      </c>
      <c r="R63" s="7" t="inlineStr"/>
      <c r="S63" s="7">
        <f>IF(OR(Q63="official",Q63="field_verified"),"CONFIRMED","UNKNOWN")</f>
        <v/>
      </c>
      <c r="T63" s="7" t="inlineStr">
        <is>
          <t>Through Burruss. The Drillfield door is stepped, so this only helps if the north door is step-free.</t>
        </is>
      </c>
    </row>
    <row r="64">
      <c r="A64" s="7" t="inlineStr">
        <is>
          <t>IND-PAMPLIN-1</t>
        </is>
      </c>
      <c r="B64" s="7" t="inlineStr">
        <is>
          <t>N-PAMPLIN-EW</t>
        </is>
      </c>
      <c r="C64" s="7" t="inlineStr">
        <is>
          <t>N-PAMPLIN-EN</t>
        </is>
      </c>
      <c r="D64" s="8" t="n">
        <v>37.228727</v>
      </c>
      <c r="E64" s="8" t="n">
        <v>-80.425093</v>
      </c>
      <c r="F64" s="8" t="n">
        <v>37.229115</v>
      </c>
      <c r="G64" s="8" t="n">
        <v>-80.424458</v>
      </c>
      <c r="H64" s="14">
        <f>ROUND(6371000*2*ASIN(SQRT(SIN(RADIANS(F64-D64)/2)^2+COS(RADIANS(D64))*COS(RADIANS(F64))*SIN(RADIANS(G64-E64)/2)^2)),1)</f>
        <v/>
      </c>
      <c r="I64" s="7" t="inlineStr">
        <is>
          <t>unknown</t>
        </is>
      </c>
      <c r="J64" s="7" t="inlineStr">
        <is>
          <t>unknown</t>
        </is>
      </c>
      <c r="K64" s="7" t="inlineStr">
        <is>
          <t>indoor</t>
        </is>
      </c>
      <c r="L64" s="7" t="inlineStr"/>
      <c r="M64" s="7" t="inlineStr"/>
      <c r="N64" s="7" t="inlineStr">
        <is>
          <t>yes</t>
        </is>
      </c>
      <c r="O64" s="7" t="inlineStr">
        <is>
          <t>unknown</t>
        </is>
      </c>
      <c r="P64" s="7" t="inlineStr">
        <is>
          <t>unknown</t>
        </is>
      </c>
      <c r="Q64" s="7" t="inlineStr">
        <is>
          <t>inferred</t>
        </is>
      </c>
      <c r="R64" s="7" t="inlineStr"/>
      <c r="S64" s="7">
        <f>IF(OR(Q64="official",Q64="field_verified"),"CONFIRMED","UNKNOWN")</f>
        <v/>
      </c>
      <c r="T64" s="7" t="inlineStr">
        <is>
          <t>Through the Pamplin atrium, which links the 1957 and 1988 wings.</t>
        </is>
      </c>
    </row>
    <row r="65">
      <c r="A65" s="7" t="inlineStr">
        <is>
          <t>IND-WHIT-DURHAM</t>
        </is>
      </c>
      <c r="B65" s="7" t="inlineStr">
        <is>
          <t>N-WHITTEMORE-E1</t>
        </is>
      </c>
      <c r="C65" s="7" t="inlineStr">
        <is>
          <t>N-DURHAM-E2</t>
        </is>
      </c>
      <c r="D65" s="8" t="n">
        <v>37.231374</v>
      </c>
      <c r="E65" s="8" t="n">
        <v>-80.424311</v>
      </c>
      <c r="F65" s="8" t="n">
        <v>37.231416</v>
      </c>
      <c r="G65" s="8" t="n">
        <v>-80.42382000000001</v>
      </c>
      <c r="H65" s="14">
        <f>ROUND(6371000*2*ASIN(SQRT(SIN(RADIANS(F65-D65)/2)^2+COS(RADIANS(D65))*COS(RADIANS(F65))*SIN(RADIANS(G65-E65)/2)^2)),1)</f>
        <v/>
      </c>
      <c r="I65" s="7" t="inlineStr">
        <is>
          <t>unknown</t>
        </is>
      </c>
      <c r="J65" s="7" t="inlineStr">
        <is>
          <t>unknown</t>
        </is>
      </c>
      <c r="K65" s="7" t="inlineStr">
        <is>
          <t>indoor</t>
        </is>
      </c>
      <c r="L65" s="7" t="inlineStr"/>
      <c r="M65" s="7" t="inlineStr"/>
      <c r="N65" s="7" t="inlineStr">
        <is>
          <t>yes</t>
        </is>
      </c>
      <c r="O65" s="7" t="inlineStr">
        <is>
          <t>unknown</t>
        </is>
      </c>
      <c r="P65" s="7" t="inlineStr">
        <is>
          <t>unknown</t>
        </is>
      </c>
      <c r="Q65" s="7" t="inlineStr">
        <is>
          <t>inferred</t>
        </is>
      </c>
      <c r="R65" s="7" t="inlineStr"/>
      <c r="S65" s="7">
        <f>IF(OR(Q65="official",Q65="field_verified"),"CONFIRMED","UNKNOWN")</f>
        <v/>
      </c>
      <c r="T65" s="7" t="inlineStr">
        <is>
          <t>Whittemore to Durham via the 3rd-floor bridge. Needs a working lift in both buildings.</t>
        </is>
      </c>
    </row>
  </sheetData>
  <autoFilter ref="A1:T65"/>
  <dataValidations count="3">
    <dataValidation sqref="I2:I400" showDropDown="0" showInputMessage="0" showErrorMessage="0" allowBlank="1" type="list">
      <formula1>"step_free,stairs,limited,unknown"</formula1>
    </dataValidation>
    <dataValidation sqref="J2:J400" showDropDown="0" showInputMessage="0" showErrorMessage="0" allowBlank="1" type="list">
      <formula1>"available,closed,unknown"</formula1>
    </dataValidation>
    <dataValidation sqref="Q2:Q400" showDropDown="0" showInputMessage="0" showErrorMessage="0" allowBlank="1" type="list">
      <formula1>"official,field_verified,community_report,inferred"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0"/>
  <sheetViews>
    <sheetView workbookViewId="0">
      <pane ySplit="1" topLeftCell="A2" activePane="bottomLeft" state="frozen"/>
      <selection pane="bottomLeft" activeCell="A1" sqref="A1"/>
    </sheetView>
  </sheetViews>
  <sheetFormatPr baseColWidth="8" defaultRowHeight="15"/>
  <cols>
    <col width="26" customWidth="1" min="1" max="1"/>
    <col width="16" customWidth="1" min="2" max="2"/>
    <col width="24" customWidth="1" min="3" max="3"/>
    <col width="24" customWidth="1" min="4" max="4"/>
    <col width="16" customWidth="1" min="5" max="5"/>
    <col width="14" customWidth="1" min="6" max="6"/>
    <col width="19" customWidth="1" min="7" max="7"/>
    <col width="18" customWidth="1" min="8" max="8"/>
    <col width="17" customWidth="1" min="9" max="9"/>
    <col width="40" customWidth="1" min="10" max="10"/>
    <col width="13" customWidth="1" min="11" max="11"/>
    <col width="14" customWidth="1" min="12" max="12"/>
    <col width="104" customWidth="1" min="13" max="13"/>
  </cols>
  <sheetData>
    <row r="1">
      <c r="A1" s="6" t="inlineStr">
        <is>
          <t>connector_id</t>
        </is>
      </c>
      <c r="B1" s="6" t="inlineStr">
        <is>
          <t>building_id</t>
        </is>
      </c>
      <c r="C1" s="6" t="inlineStr">
        <is>
          <t>from_node</t>
        </is>
      </c>
      <c r="D1" s="6" t="inlineStr">
        <is>
          <t>to_node</t>
        </is>
      </c>
      <c r="E1" s="6" t="inlineStr">
        <is>
          <t>connector_type</t>
        </is>
      </c>
      <c r="F1" s="6" t="inlineStr">
        <is>
          <t>floors_served</t>
        </is>
      </c>
      <c r="G1" s="6" t="inlineStr">
        <is>
          <t>accessibility_status</t>
        </is>
      </c>
      <c r="H1" s="6" t="inlineStr">
        <is>
          <t>operational_status</t>
        </is>
      </c>
      <c r="I1" s="6" t="inlineStr">
        <is>
          <t>confidence</t>
        </is>
      </c>
      <c r="J1" s="6" t="inlineStr">
        <is>
          <t>evidence_source</t>
        </is>
      </c>
      <c r="K1" s="6" t="inlineStr">
        <is>
          <t>last_verified</t>
        </is>
      </c>
      <c r="L1" s="6" t="inlineStr">
        <is>
          <t>display_tier</t>
        </is>
      </c>
      <c r="M1" s="6" t="inlineStr">
        <is>
          <t>notes</t>
        </is>
      </c>
    </row>
    <row r="2">
      <c r="A2" s="10" t="inlineStr">
        <is>
          <t>VT-BURRUSS-ELEV-1</t>
        </is>
      </c>
      <c r="B2" s="10" t="inlineStr">
        <is>
          <t>VT-BURRUSS</t>
        </is>
      </c>
      <c r="C2" s="10" t="inlineStr">
        <is>
          <t>N-BURRUSS-L1</t>
        </is>
      </c>
      <c r="D2" s="10" t="inlineStr">
        <is>
          <t>N-BURRUSS-L6</t>
        </is>
      </c>
      <c r="E2" s="10" t="inlineStr">
        <is>
          <t>elevator</t>
        </is>
      </c>
      <c r="F2" s="10" t="inlineStr">
        <is>
          <t>01-06</t>
        </is>
      </c>
      <c r="G2" s="10" t="inlineStr">
        <is>
          <t>step_free</t>
        </is>
      </c>
      <c r="H2" s="10" t="inlineStr">
        <is>
          <t>unknown</t>
        </is>
      </c>
      <c r="I2" s="10" t="inlineStr">
        <is>
          <t>inferred</t>
        </is>
      </c>
      <c r="J2" s="10" t="inlineStr">
        <is>
          <t>CDCD floorplan 0176sa02.gif (2006)</t>
        </is>
      </c>
      <c r="K2" s="10" t="inlineStr"/>
      <c r="L2" s="10">
        <f>IF(OR(I2="official",I2="field_verified"),"CONFIRMED","UNKNOWN")</f>
        <v/>
      </c>
      <c r="M2" s="10" t="inlineStr">
        <is>
          <t>Car labelled ELEV. off the main foyer. Existence in 2026 NOT confirmed; cab and door dimensions unknown.</t>
        </is>
      </c>
    </row>
    <row r="3">
      <c r="A3" s="10" t="inlineStr">
        <is>
          <t>VT-BURRUSS-STAIR-200A</t>
        </is>
      </c>
      <c r="B3" s="10" t="inlineStr">
        <is>
          <t>VT-BURRUSS</t>
        </is>
      </c>
      <c r="C3" s="10" t="inlineStr">
        <is>
          <t>N-BURRUSS-L1</t>
        </is>
      </c>
      <c r="D3" s="10" t="inlineStr">
        <is>
          <t>N-BURRUSS-L2</t>
        </is>
      </c>
      <c r="E3" s="10" t="inlineStr">
        <is>
          <t>stairs</t>
        </is>
      </c>
      <c r="F3" s="10" t="inlineStr">
        <is>
          <t>01-02</t>
        </is>
      </c>
      <c r="G3" s="10" t="inlineStr">
        <is>
          <t>stairs</t>
        </is>
      </c>
      <c r="H3" s="10" t="inlineStr">
        <is>
          <t>unknown</t>
        </is>
      </c>
      <c r="I3" s="10" t="inlineStr">
        <is>
          <t>inferred</t>
        </is>
      </c>
      <c r="J3" s="10" t="inlineStr">
        <is>
          <t>CDCD floorplan 0176sa02.gif (2006)</t>
        </is>
      </c>
      <c r="K3" s="10" t="inlineStr"/>
      <c r="L3" s="10">
        <f>IF(OR(I3="official",I3="field_verified"),"CONFIRMED","UNKNOWN")</f>
        <v/>
      </c>
      <c r="M3" s="10" t="inlineStr">
        <is>
          <t>Labelled STAIR 200A.</t>
        </is>
      </c>
    </row>
    <row r="4">
      <c r="A4" s="10" t="inlineStr">
        <is>
          <t>VT-BURRUSS-STAIR-200B</t>
        </is>
      </c>
      <c r="B4" s="10" t="inlineStr">
        <is>
          <t>VT-BURRUSS</t>
        </is>
      </c>
      <c r="C4" s="10" t="inlineStr">
        <is>
          <t>N-BURRUSS-L1</t>
        </is>
      </c>
      <c r="D4" s="10" t="inlineStr">
        <is>
          <t>N-BURRUSS-L2</t>
        </is>
      </c>
      <c r="E4" s="10" t="inlineStr">
        <is>
          <t>stairs</t>
        </is>
      </c>
      <c r="F4" s="10" t="inlineStr">
        <is>
          <t>01-02</t>
        </is>
      </c>
      <c r="G4" s="10" t="inlineStr">
        <is>
          <t>stairs</t>
        </is>
      </c>
      <c r="H4" s="10" t="inlineStr">
        <is>
          <t>unknown</t>
        </is>
      </c>
      <c r="I4" s="10" t="inlineStr">
        <is>
          <t>inferred</t>
        </is>
      </c>
      <c r="J4" s="10" t="inlineStr">
        <is>
          <t>CDCD floorplan 0176sa02.gif (2006)</t>
        </is>
      </c>
      <c r="K4" s="10" t="inlineStr"/>
      <c r="L4" s="10">
        <f>IF(OR(I4="official",I4="field_verified"),"CONFIRMED","UNKNOWN")</f>
        <v/>
      </c>
      <c r="M4" s="10" t="inlineStr">
        <is>
          <t>Labelled STAIR 200B.</t>
        </is>
      </c>
    </row>
    <row r="5">
      <c r="A5" s="10" t="inlineStr">
        <is>
          <t>VT-TORG-ELEV-B3</t>
        </is>
      </c>
      <c r="B5" s="10" t="inlineStr">
        <is>
          <t>VT-TORGERSEN</t>
        </is>
      </c>
      <c r="C5" s="10" t="inlineStr">
        <is>
          <t>N-TORGERSEN-L1</t>
        </is>
      </c>
      <c r="D5" s="10" t="inlineStr">
        <is>
          <t>N-TORGERSEN-L3</t>
        </is>
      </c>
      <c r="E5" s="10" t="inlineStr">
        <is>
          <t>elevator</t>
        </is>
      </c>
      <c r="F5" s="10" t="inlineStr">
        <is>
          <t>01-03</t>
        </is>
      </c>
      <c r="G5" s="10" t="inlineStr">
        <is>
          <t>step_free</t>
        </is>
      </c>
      <c r="H5" s="10" t="inlineStr">
        <is>
          <t>unknown</t>
        </is>
      </c>
      <c r="I5" s="10" t="inlineStr">
        <is>
          <t>inferred</t>
        </is>
      </c>
      <c r="J5" s="10" t="inlineStr">
        <is>
          <t>CDCD floorplan 0174sa02.gif (2006)</t>
        </is>
      </c>
      <c r="K5" s="10" t="inlineStr"/>
      <c r="L5" s="10">
        <f>IF(OR(I5="official",I5="field_verified"),"CONFIRMED","UNKNOWN")</f>
        <v/>
      </c>
      <c r="M5" s="10" t="inlineStr">
        <is>
          <t>Labelled ELEV. B3, west end.</t>
        </is>
      </c>
    </row>
    <row r="6">
      <c r="A6" s="10" t="inlineStr">
        <is>
          <t>VT-TORG-ELEV-B15</t>
        </is>
      </c>
      <c r="B6" s="10" t="inlineStr">
        <is>
          <t>VT-TORGERSEN</t>
        </is>
      </c>
      <c r="C6" s="10" t="inlineStr">
        <is>
          <t>N-TORGERSEN-L1</t>
        </is>
      </c>
      <c r="D6" s="10" t="inlineStr">
        <is>
          <t>N-TORGERSEN-L3</t>
        </is>
      </c>
      <c r="E6" s="10" t="inlineStr">
        <is>
          <t>elevator</t>
        </is>
      </c>
      <c r="F6" s="10" t="inlineStr">
        <is>
          <t>01-03</t>
        </is>
      </c>
      <c r="G6" s="10" t="inlineStr">
        <is>
          <t>step_free</t>
        </is>
      </c>
      <c r="H6" s="10" t="inlineStr">
        <is>
          <t>unknown</t>
        </is>
      </c>
      <c r="I6" s="10" t="inlineStr">
        <is>
          <t>inferred</t>
        </is>
      </c>
      <c r="J6" s="10" t="inlineStr">
        <is>
          <t>CDCD floorplan 0174sa02.gif (2006)</t>
        </is>
      </c>
      <c r="K6" s="10" t="inlineStr"/>
      <c r="L6" s="10">
        <f>IF(OR(I6="official",I6="field_verified"),"CONFIRMED","UNKNOWN")</f>
        <v/>
      </c>
      <c r="M6" s="10" t="inlineStr">
        <is>
          <t>Labelled ELEV. B15, centre.</t>
        </is>
      </c>
    </row>
    <row r="7">
      <c r="A7" s="10" t="inlineStr">
        <is>
          <t>VT-TORG-NEWMAN-BRIDGE</t>
        </is>
      </c>
      <c r="B7" s="10" t="inlineStr">
        <is>
          <t>VT-TORGERSEN</t>
        </is>
      </c>
      <c r="C7" s="10" t="inlineStr">
        <is>
          <t>N-TORGERSEN-L2</t>
        </is>
      </c>
      <c r="D7" s="10" t="inlineStr">
        <is>
          <t>N-NEWMAN-LIB-L3</t>
        </is>
      </c>
      <c r="E7" s="12" t="inlineStr">
        <is>
          <t>lift</t>
        </is>
      </c>
      <c r="F7" s="10" t="inlineStr">
        <is>
          <t>T02-L03</t>
        </is>
      </c>
      <c r="G7" s="10" t="inlineStr">
        <is>
          <t>unknown</t>
        </is>
      </c>
      <c r="H7" s="10" t="inlineStr">
        <is>
          <t>unknown</t>
        </is>
      </c>
      <c r="I7" s="10" t="inlineStr">
        <is>
          <t>inferred</t>
        </is>
      </c>
      <c r="J7" s="10" t="inlineStr">
        <is>
          <t>CDCD floorplan 0174sa02.gif (2006)</t>
        </is>
      </c>
      <c r="K7" s="10" t="inlineStr"/>
      <c r="L7" s="10">
        <f>IF(OR(I7="official",I7="field_verified"),"CONFIRMED","UNKNOWN")</f>
        <v/>
      </c>
      <c r="M7" s="10" t="inlineStr">
        <is>
          <t>ENCLOSED BRIDGE over Alumni Mall: Torgersen floor 2 to Newman Library floor 3. 'lift' is a MISFIT - connector_type has no bridge value. See README item 2.</t>
        </is>
      </c>
    </row>
    <row r="8">
      <c r="A8" s="10" t="inlineStr">
        <is>
          <t>VT-WHIT-BRIDGE-DURHAM</t>
        </is>
      </c>
      <c r="B8" s="10" t="inlineStr">
        <is>
          <t>VT-WHITTEMORE</t>
        </is>
      </c>
      <c r="C8" s="10" t="inlineStr">
        <is>
          <t>N-WHITTEMORE-L3</t>
        </is>
      </c>
      <c r="D8" s="10" t="inlineStr">
        <is>
          <t>N-DURHAM-L3</t>
        </is>
      </c>
      <c r="E8" s="12" t="inlineStr">
        <is>
          <t>lift</t>
        </is>
      </c>
      <c r="F8" s="10" t="inlineStr">
        <is>
          <t>03</t>
        </is>
      </c>
      <c r="G8" s="10" t="inlineStr">
        <is>
          <t>unknown</t>
        </is>
      </c>
      <c r="H8" s="10" t="inlineStr">
        <is>
          <t>unknown</t>
        </is>
      </c>
      <c r="I8" s="10" t="inlineStr">
        <is>
          <t>community_report</t>
        </is>
      </c>
      <c r="J8" s="10" t="inlineStr">
        <is>
          <t>Gobblerpedia, Whittemore Hall</t>
        </is>
      </c>
      <c r="K8" s="10" t="inlineStr"/>
      <c r="L8" s="10">
        <f>IF(OR(I8="official",I8="field_verified"),"CONFIRMED","UNKNOWN")</f>
        <v/>
      </c>
      <c r="M8" s="10" t="inlineStr">
        <is>
          <t>3rd-floor patio bridge to Durham. Same vocabulary gap.</t>
        </is>
      </c>
    </row>
    <row r="9">
      <c r="A9" s="10" t="inlineStr">
        <is>
          <t>VT-WHIT-BRIDGE-HANCOCK</t>
        </is>
      </c>
      <c r="B9" s="10" t="inlineStr">
        <is>
          <t>VT-WHITTEMORE</t>
        </is>
      </c>
      <c r="C9" s="10" t="inlineStr">
        <is>
          <t>N-WHITTEMORE-L3</t>
        </is>
      </c>
      <c r="D9" s="10" t="inlineStr">
        <is>
          <t>N-HANCOCK-L3</t>
        </is>
      </c>
      <c r="E9" s="12" t="inlineStr">
        <is>
          <t>lift</t>
        </is>
      </c>
      <c r="F9" s="10" t="inlineStr">
        <is>
          <t>03</t>
        </is>
      </c>
      <c r="G9" s="10" t="inlineStr">
        <is>
          <t>unknown</t>
        </is>
      </c>
      <c r="H9" s="10" t="inlineStr">
        <is>
          <t>unknown</t>
        </is>
      </c>
      <c r="I9" s="10" t="inlineStr">
        <is>
          <t>community_report</t>
        </is>
      </c>
      <c r="J9" s="10" t="inlineStr">
        <is>
          <t>Gobblerpedia, Whittemore Hall</t>
        </is>
      </c>
      <c r="K9" s="10" t="inlineStr"/>
      <c r="L9" s="10">
        <f>IF(OR(I9="official",I9="field_verified"),"CONFIRMED","UNKNOWN")</f>
        <v/>
      </c>
      <c r="M9" s="10" t="inlineStr">
        <is>
          <t>3rd-floor patio bridge to Hancock. Same vocabulary gap.</t>
        </is>
      </c>
    </row>
    <row r="10">
      <c r="A10" s="10" t="inlineStr">
        <is>
          <t>VT-SQUIRES-ELEV-1</t>
        </is>
      </c>
      <c r="B10" s="10" t="inlineStr">
        <is>
          <t>VT-SQUIRES</t>
        </is>
      </c>
      <c r="C10" s="10" t="inlineStr">
        <is>
          <t>N-SQUIRES-L1</t>
        </is>
      </c>
      <c r="D10" s="10" t="inlineStr">
        <is>
          <t>N-SQUIRES-L4</t>
        </is>
      </c>
      <c r="E10" s="10" t="inlineStr">
        <is>
          <t>elevator</t>
        </is>
      </c>
      <c r="F10" s="10" t="inlineStr">
        <is>
          <t>00-04</t>
        </is>
      </c>
      <c r="G10" s="10" t="inlineStr">
        <is>
          <t>step_free</t>
        </is>
      </c>
      <c r="H10" s="10" t="inlineStr">
        <is>
          <t>unknown</t>
        </is>
      </c>
      <c r="I10" s="10" t="inlineStr">
        <is>
          <t>inferred</t>
        </is>
      </c>
      <c r="J10" s="10" t="inlineStr">
        <is>
          <t>CDCD floorplan 0180sa01.gif (2006)</t>
        </is>
      </c>
      <c r="K10" s="10" t="inlineStr"/>
      <c r="L10" s="10">
        <f>IF(OR(I10="official",I10="field_verified"),"CONFIRMED","UNKNOWN")</f>
        <v/>
      </c>
      <c r="M10" s="10" t="inlineStr">
        <is>
          <t>Elevator and machine room visible on the 2006 plan.</t>
        </is>
      </c>
    </row>
    <row r="11">
      <c r="A11" s="10" t="inlineStr">
        <is>
          <t>VT-SQUIRES-STAIR-A66</t>
        </is>
      </c>
      <c r="B11" s="10" t="inlineStr">
        <is>
          <t>VT-SQUIRES</t>
        </is>
      </c>
      <c r="C11" s="10" t="inlineStr">
        <is>
          <t>N-SQUIRES-L1</t>
        </is>
      </c>
      <c r="D11" s="10" t="inlineStr">
        <is>
          <t>N-SQUIRES-L2</t>
        </is>
      </c>
      <c r="E11" s="10" t="inlineStr">
        <is>
          <t>stairs</t>
        </is>
      </c>
      <c r="F11" s="10" t="inlineStr">
        <is>
          <t>01-02</t>
        </is>
      </c>
      <c r="G11" s="10" t="inlineStr">
        <is>
          <t>stairs</t>
        </is>
      </c>
      <c r="H11" s="10" t="inlineStr">
        <is>
          <t>unknown</t>
        </is>
      </c>
      <c r="I11" s="10" t="inlineStr">
        <is>
          <t>inferred</t>
        </is>
      </c>
      <c r="J11" s="10" t="inlineStr">
        <is>
          <t>CDCD floorplan 0180sa01.gif (2006)</t>
        </is>
      </c>
      <c r="K11" s="10" t="inlineStr"/>
      <c r="L11" s="10">
        <f>IF(OR(I11="official",I11="field_verified"),"CONFIRMED","UNKNOWN")</f>
        <v/>
      </c>
      <c r="M11" s="10" t="inlineStr">
        <is>
          <t>Labelled STAIRS A66.</t>
        </is>
      </c>
    </row>
    <row r="12">
      <c r="A12" s="10" t="inlineStr">
        <is>
          <t>VT-MCBRYDE-VERT-UNKNOWN</t>
        </is>
      </c>
      <c r="B12" s="10" t="inlineStr">
        <is>
          <t>VT-MCBRYDE</t>
        </is>
      </c>
      <c r="C12" s="10" t="inlineStr">
        <is>
          <t>N-MCBRYDE-L1</t>
        </is>
      </c>
      <c r="D12" s="10" t="inlineStr">
        <is>
          <t>N-MCBRYDE-L6</t>
        </is>
      </c>
      <c r="E12" s="10" t="inlineStr">
        <is>
          <t>unknown</t>
        </is>
      </c>
      <c r="F12" s="10" t="inlineStr">
        <is>
          <t>01-06</t>
        </is>
      </c>
      <c r="G12" s="10" t="inlineStr">
        <is>
          <t>unknown</t>
        </is>
      </c>
      <c r="H12" s="10" t="inlineStr">
        <is>
          <t>unknown</t>
        </is>
      </c>
      <c r="I12" s="10" t="inlineStr">
        <is>
          <t>inferred</t>
        </is>
      </c>
      <c r="J12" s="10" t="inlineStr">
        <is>
          <t>Not inspected</t>
        </is>
      </c>
      <c r="K12" s="10" t="inlineStr"/>
      <c r="L12" s="10">
        <f>IF(OR(I12="official",I12="field_verified"),"CONFIRMED","UNKNOWN")</f>
        <v/>
      </c>
      <c r="M12" s="10" t="inlineStr">
        <is>
          <t>Plans 0151sa01-06 exist in the archive but were NOT opened. Placeholder.</t>
        </is>
      </c>
    </row>
    <row r="13">
      <c r="A13" s="15" t="inlineStr">
        <is>
          <t>VT-GOODWIN-VERT-UNKNOWN</t>
        </is>
      </c>
      <c r="B13" s="15" t="inlineStr">
        <is>
          <t>VT-GOODWIN</t>
        </is>
      </c>
      <c r="C13" s="15" t="inlineStr">
        <is>
          <t>N-GOODWIN-L1</t>
        </is>
      </c>
      <c r="D13" s="15" t="inlineStr">
        <is>
          <t>N-GOODWIN-L6</t>
        </is>
      </c>
      <c r="E13" s="15" t="inlineStr">
        <is>
          <t>unknown</t>
        </is>
      </c>
      <c r="F13" s="15" t="inlineStr">
        <is>
          <t>unknown</t>
        </is>
      </c>
      <c r="G13" s="15" t="inlineStr">
        <is>
          <t>unknown</t>
        </is>
      </c>
      <c r="H13" s="15" t="inlineStr">
        <is>
          <t>unknown</t>
        </is>
      </c>
      <c r="I13" s="15" t="inlineStr">
        <is>
          <t>inferred</t>
        </is>
      </c>
      <c r="J13" s="16" t="inlineStr">
        <is>
          <t>NO DATA</t>
        </is>
      </c>
      <c r="K13" s="15" t="inlineStr"/>
      <c r="L13" s="15">
        <f>IF(OR(I13="official",I13="field_verified"),"CONFIRMED","UNKNOWN")</f>
        <v/>
      </c>
      <c r="M13" s="15" t="inlineStr">
        <is>
          <t>Opened 2014. No floorplan anywhere public. Must be surveyed.</t>
        </is>
      </c>
    </row>
    <row r="14">
      <c r="A14" s="15" t="inlineStr">
        <is>
          <t>VT-NEWMAN-VERT-UNKNOWN</t>
        </is>
      </c>
      <c r="B14" s="15" t="inlineStr">
        <is>
          <t>VT-NEWMAN-LIB</t>
        </is>
      </c>
      <c r="C14" s="15" t="inlineStr">
        <is>
          <t>N-NEWMAN-LIB-L1</t>
        </is>
      </c>
      <c r="D14" s="15" t="inlineStr">
        <is>
          <t>N-NEWMAN-LIB-L6</t>
        </is>
      </c>
      <c r="E14" s="15" t="inlineStr">
        <is>
          <t>unknown</t>
        </is>
      </c>
      <c r="F14" s="15" t="inlineStr">
        <is>
          <t>unknown</t>
        </is>
      </c>
      <c r="G14" s="15" t="inlineStr">
        <is>
          <t>unknown</t>
        </is>
      </c>
      <c r="H14" s="15" t="inlineStr">
        <is>
          <t>unknown</t>
        </is>
      </c>
      <c r="I14" s="15" t="inlineStr">
        <is>
          <t>inferred</t>
        </is>
      </c>
      <c r="J14" s="16" t="inlineStr">
        <is>
          <t>NO DATA</t>
        </is>
      </c>
      <c r="K14" s="15" t="inlineStr"/>
      <c r="L14" s="15">
        <f>IF(OR(I14="official",I14="field_verified"),"CONFIRMED","UNKNOWN")</f>
        <v/>
      </c>
      <c r="M14" s="15" t="inlineStr">
        <is>
          <t>In the 2006 index but no plan file. Must be surveyed.</t>
        </is>
      </c>
    </row>
    <row r="15">
      <c r="A15" s="10" t="inlineStr">
        <is>
          <t>VT-HITT-ELEV-1</t>
        </is>
      </c>
      <c r="B15" s="10" t="inlineStr">
        <is>
          <t>VT-HITT</t>
        </is>
      </c>
      <c r="C15" s="10" t="inlineStr">
        <is>
          <t>N-HITT-L1</t>
        </is>
      </c>
      <c r="D15" s="10" t="inlineStr">
        <is>
          <t>N-HITT-L3</t>
        </is>
      </c>
      <c r="E15" s="10" t="inlineStr">
        <is>
          <t>elevator</t>
        </is>
      </c>
      <c r="F15" s="10" t="inlineStr">
        <is>
          <t>01-03</t>
        </is>
      </c>
      <c r="G15" s="10" t="inlineStr">
        <is>
          <t>step_free</t>
        </is>
      </c>
      <c r="H15" s="10" t="inlineStr">
        <is>
          <t>unknown</t>
        </is>
      </c>
      <c r="I15" s="10" t="inlineStr">
        <is>
          <t>inferred</t>
        </is>
      </c>
      <c r="J15" s="10" t="inlineStr">
        <is>
          <t>VT Facilities, Hitt Hall project page</t>
        </is>
      </c>
      <c r="K15" s="10" t="inlineStr"/>
      <c r="L15" s="10">
        <f>IF(OR(I15="official",I15="field_verified"),"CONFIRMED","UNKNOWN")</f>
        <v/>
      </c>
      <c r="M15" s="10" t="inlineStr">
        <is>
          <t>VT states Hitt's classrooms, collaboration spaces and restrooms are ADA-compliant. A compliant 3-storey building must have an elevator, so one almost certainly exists - but its location, count and asset ID are NOT known.</t>
        </is>
      </c>
    </row>
    <row r="16">
      <c r="A16" s="10" t="inlineStr">
        <is>
          <t>VT-HITT-STAIR-ATRIUM</t>
        </is>
      </c>
      <c r="B16" s="10" t="inlineStr">
        <is>
          <t>VT-HITT</t>
        </is>
      </c>
      <c r="C16" s="10" t="inlineStr">
        <is>
          <t>N-HITT-L1</t>
        </is>
      </c>
      <c r="D16" s="10" t="inlineStr">
        <is>
          <t>N-HITT-L2</t>
        </is>
      </c>
      <c r="E16" s="10" t="inlineStr">
        <is>
          <t>stairs</t>
        </is>
      </c>
      <c r="F16" s="10" t="inlineStr">
        <is>
          <t>01-02</t>
        </is>
      </c>
      <c r="G16" s="10" t="inlineStr">
        <is>
          <t>stairs</t>
        </is>
      </c>
      <c r="H16" s="10" t="inlineStr">
        <is>
          <t>unknown</t>
        </is>
      </c>
      <c r="I16" s="10" t="inlineStr">
        <is>
          <t>community_report</t>
        </is>
      </c>
      <c r="J16" s="10" t="inlineStr">
        <is>
          <t>VT Facilities social post showing the atrium</t>
        </is>
      </c>
      <c r="K16" s="10" t="inlineStr"/>
      <c r="L16" s="10">
        <f>IF(OR(I16="official",I16="field_verified"),"CONFIRMED","UNKNOWN")</f>
        <v/>
      </c>
      <c r="M16" s="10" t="inlineStr">
        <is>
          <t>Large feature staircase in the main atrium.</t>
        </is>
      </c>
    </row>
    <row r="17">
      <c r="A17" s="15" t="inlineStr">
        <is>
          <t>VT-DDS-VERT-UNKNOWN</t>
        </is>
      </c>
      <c r="B17" s="15" t="inlineStr">
        <is>
          <t>VT-DDS</t>
        </is>
      </c>
      <c r="C17" s="15" t="inlineStr">
        <is>
          <t>N-DDS-L1</t>
        </is>
      </c>
      <c r="D17" s="15" t="inlineStr">
        <is>
          <t>N-DDS-L4</t>
        </is>
      </c>
      <c r="E17" s="15" t="inlineStr">
        <is>
          <t>unknown</t>
        </is>
      </c>
      <c r="F17" s="15" t="inlineStr">
        <is>
          <t>unknown</t>
        </is>
      </c>
      <c r="G17" s="15" t="inlineStr">
        <is>
          <t>unknown</t>
        </is>
      </c>
      <c r="H17" s="15" t="inlineStr">
        <is>
          <t>unknown</t>
        </is>
      </c>
      <c r="I17" s="15" t="inlineStr">
        <is>
          <t>inferred</t>
        </is>
      </c>
      <c r="J17" s="16" t="inlineStr">
        <is>
          <t>NO DATA</t>
        </is>
      </c>
      <c r="K17" s="15" t="inlineStr"/>
      <c r="L17" s="15">
        <f>IF(OR(I17="official",I17="field_verified"),"CONFIRMED","UNKNOWN")</f>
        <v/>
      </c>
      <c r="M17" s="15" t="inlineStr">
        <is>
          <t>Opened 2023. ADA-compliant by VT policy for new construction, but no elevator inventory obtained.</t>
        </is>
      </c>
    </row>
    <row r="18">
      <c r="A18" s="15" t="inlineStr">
        <is>
          <t>VT-KELLY-VERT-UNKNOWN</t>
        </is>
      </c>
      <c r="B18" s="15" t="inlineStr">
        <is>
          <t>VT-KELLY</t>
        </is>
      </c>
      <c r="C18" s="15" t="inlineStr">
        <is>
          <t>N-KELLY-L1</t>
        </is>
      </c>
      <c r="D18" s="15" t="inlineStr">
        <is>
          <t>N-KELLY-L4</t>
        </is>
      </c>
      <c r="E18" s="15" t="inlineStr">
        <is>
          <t>unknown</t>
        </is>
      </c>
      <c r="F18" s="15" t="inlineStr">
        <is>
          <t>unknown</t>
        </is>
      </c>
      <c r="G18" s="15" t="inlineStr">
        <is>
          <t>unknown</t>
        </is>
      </c>
      <c r="H18" s="15" t="inlineStr">
        <is>
          <t>unknown</t>
        </is>
      </c>
      <c r="I18" s="15" t="inlineStr">
        <is>
          <t>inferred</t>
        </is>
      </c>
      <c r="J18" s="16" t="inlineStr">
        <is>
          <t>NO DATA</t>
        </is>
      </c>
      <c r="K18" s="15" t="inlineStr"/>
      <c r="L18" s="15">
        <f>IF(OR(I18="official",I18="field_verified"),"CONFIRMED","UNKNOWN")</f>
        <v/>
      </c>
      <c r="M18" s="15" t="inlineStr">
        <is>
          <t>Opened 2009. No plan in the archive. Must be surveyed.</t>
        </is>
      </c>
    </row>
    <row r="19">
      <c r="A19" s="15" t="inlineStr">
        <is>
          <t>VT-CFA-VERT-UNKNOWN</t>
        </is>
      </c>
      <c r="B19" s="15" t="inlineStr">
        <is>
          <t>VT-CFA</t>
        </is>
      </c>
      <c r="C19" s="15" t="inlineStr">
        <is>
          <t>N-CFA-L1</t>
        </is>
      </c>
      <c r="D19" s="15" t="inlineStr">
        <is>
          <t>N-CFA-L4</t>
        </is>
      </c>
      <c r="E19" s="15" t="inlineStr">
        <is>
          <t>unknown</t>
        </is>
      </c>
      <c r="F19" s="15" t="inlineStr">
        <is>
          <t>unknown</t>
        </is>
      </c>
      <c r="G19" s="15" t="inlineStr">
        <is>
          <t>unknown</t>
        </is>
      </c>
      <c r="H19" s="15" t="inlineStr">
        <is>
          <t>unknown</t>
        </is>
      </c>
      <c r="I19" s="15" t="inlineStr">
        <is>
          <t>inferred</t>
        </is>
      </c>
      <c r="J19" s="16" t="inlineStr">
        <is>
          <t>NO DATA</t>
        </is>
      </c>
      <c r="K19" s="15" t="inlineStr"/>
      <c r="L19" s="15">
        <f>IF(OR(I19="official",I19="field_verified"),"CONFIRMED","UNKNOWN")</f>
        <v/>
      </c>
      <c r="M19" s="15" t="inlineStr">
        <is>
          <t>Opened 2013 on building number 188. The archive's two 0188 plans are SHULTZ HALL, a different building. Do not load them for this record.</t>
        </is>
      </c>
    </row>
    <row r="20">
      <c r="A20" s="15" t="inlineStr">
        <is>
          <t>VT-MITCHELL-VERT-UNKNOWN</t>
        </is>
      </c>
      <c r="B20" s="15" t="inlineStr">
        <is>
          <t>VT-MITCHELL</t>
        </is>
      </c>
      <c r="C20" s="15" t="inlineStr">
        <is>
          <t>N-MITCHELL-L1</t>
        </is>
      </c>
      <c r="D20" s="15" t="inlineStr">
        <is>
          <t>N-MITCHELL-L6</t>
        </is>
      </c>
      <c r="E20" s="15" t="inlineStr">
        <is>
          <t>unknown</t>
        </is>
      </c>
      <c r="F20" s="15" t="inlineStr">
        <is>
          <t>unknown</t>
        </is>
      </c>
      <c r="G20" s="15" t="inlineStr">
        <is>
          <t>unknown</t>
        </is>
      </c>
      <c r="H20" s="15" t="inlineStr">
        <is>
          <t>unknown</t>
        </is>
      </c>
      <c r="I20" s="15" t="inlineStr">
        <is>
          <t>inferred</t>
        </is>
      </c>
      <c r="J20" s="16" t="inlineStr">
        <is>
          <t>NO DATA</t>
        </is>
      </c>
      <c r="K20" s="15" t="inlineStr"/>
      <c r="L20" s="15">
        <f>IF(OR(I20="official",I20="field_verified"),"CONFIRMED","UNKNOWN")</f>
        <v/>
      </c>
      <c r="M20" s="15" t="inlineStr">
        <is>
          <t>Building does not exist yet - completion 2028.</t>
        </is>
      </c>
    </row>
  </sheetData>
  <autoFilter ref="A1:M20"/>
  <dataValidations count="4">
    <dataValidation sqref="E2:E400" showDropDown="0" showInputMessage="0" showErrorMessage="0" allowBlank="1" type="list">
      <formula1>"elevator,ramp,stairs,lift,unknown"</formula1>
    </dataValidation>
    <dataValidation sqref="G2:G400" showDropDown="0" showInputMessage="0" showErrorMessage="0" allowBlank="1" type="list">
      <formula1>"step_free,stairs,limited,unknown"</formula1>
    </dataValidation>
    <dataValidation sqref="H2:H400" showDropDown="0" showInputMessage="0" showErrorMessage="0" allowBlank="1" type="list">
      <formula1>"available,closed,unknown"</formula1>
    </dataValidation>
    <dataValidation sqref="I2:I400" showDropDown="0" showInputMessage="0" showErrorMessage="0" allowBlank="1" type="list">
      <formula1>"official,field_verified,community_report,inferred"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20" customWidth="1" min="1" max="1"/>
    <col width="44" customWidth="1" min="2" max="2"/>
    <col width="40" customWidth="1" min="3" max="3"/>
    <col width="16" customWidth="1" min="4" max="4"/>
    <col width="24" customWidth="1" min="5" max="5"/>
    <col width="10" customWidth="1" min="6" max="6"/>
    <col width="14" customWidth="1" min="7" max="7"/>
    <col width="11" customWidth="1" min="8" max="8"/>
    <col width="14" customWidth="1" min="9" max="9"/>
    <col width="92" customWidth="1" min="10" max="10"/>
  </cols>
  <sheetData>
    <row r="1">
      <c r="A1" s="6" t="inlineStr">
        <is>
          <t>poi_id</t>
        </is>
      </c>
      <c r="B1" s="6" t="inlineStr">
        <is>
          <t>name</t>
        </is>
      </c>
      <c r="C1" s="6" t="inlineStr">
        <is>
          <t>aliases</t>
        </is>
      </c>
      <c r="D1" s="6" t="inlineStr">
        <is>
          <t>building_id</t>
        </is>
      </c>
      <c r="E1" s="6" t="inlineStr">
        <is>
          <t>node_id</t>
        </is>
      </c>
      <c r="F1" s="6" t="inlineStr">
        <is>
          <t>floor</t>
        </is>
      </c>
      <c r="G1" s="6" t="inlineStr">
        <is>
          <t>category</t>
        </is>
      </c>
      <c r="H1" s="6" t="inlineStr">
        <is>
          <t>confidence</t>
        </is>
      </c>
      <c r="I1" s="6" t="inlineStr">
        <is>
          <t>display_tier</t>
        </is>
      </c>
      <c r="J1" s="6" t="inlineStr">
        <is>
          <t>notes</t>
        </is>
      </c>
    </row>
    <row r="2">
      <c r="A2" s="10" t="inlineStr">
        <is>
          <t>POI-PERRY-PLACE</t>
        </is>
      </c>
      <c r="B2" s="10" t="inlineStr">
        <is>
          <t>Perry Place</t>
        </is>
      </c>
      <c r="C2" s="10" t="inlineStr">
        <is>
          <t>Perry Place Dining;Hitt dining;Perry Pl</t>
        </is>
      </c>
      <c r="D2" s="10" t="inlineStr">
        <is>
          <t>VT-HITT</t>
        </is>
      </c>
      <c r="E2" s="10" t="inlineStr">
        <is>
          <t>N-HITT-E1</t>
        </is>
      </c>
      <c r="F2" s="10" t="inlineStr">
        <is>
          <t>01-02</t>
        </is>
      </c>
      <c r="G2" s="10" t="inlineStr">
        <is>
          <t>dining</t>
        </is>
      </c>
      <c r="H2" s="10" t="inlineStr">
        <is>
          <t>inferred</t>
        </is>
      </c>
      <c r="I2" s="10">
        <f>IF(OR(H2="official",H2="field_verified"),"CONFIRMED","UNKNOWN")</f>
        <v/>
      </c>
      <c r="J2" s="10" t="inlineStr">
        <is>
          <t>600-seat dining facility with nine venues, inside Hitt Hall. Entrance node is a PLACEHOLDER - no interior survey.</t>
        </is>
      </c>
    </row>
    <row r="3">
      <c r="A3" s="10" t="inlineStr">
        <is>
          <t>POI-PROCON</t>
        </is>
      </c>
      <c r="B3" s="10" t="inlineStr">
        <is>
          <t>Procon Innovation Center</t>
        </is>
      </c>
      <c r="C3" s="10" t="inlineStr">
        <is>
          <t>Innovation Lab;Procon</t>
        </is>
      </c>
      <c r="D3" s="10" t="inlineStr">
        <is>
          <t>VT-HITT</t>
        </is>
      </c>
      <c r="E3" s="10" t="inlineStr">
        <is>
          <t>N-HITT-E1</t>
        </is>
      </c>
      <c r="F3" s="10" t="inlineStr">
        <is>
          <t>01-02</t>
        </is>
      </c>
      <c r="G3" s="10" t="inlineStr">
        <is>
          <t>academic</t>
        </is>
      </c>
      <c r="H3" s="10" t="inlineStr">
        <is>
          <t>inferred</t>
        </is>
      </c>
      <c r="I3" s="10">
        <f>IF(OR(H3="official",H3="field_verified"),"CONFIRMED","UNKNOWN")</f>
        <v/>
      </c>
      <c r="J3" s="10" t="inlineStr">
        <is>
          <t>Two-storey innovation centre inside Hitt Hall.</t>
        </is>
      </c>
    </row>
    <row r="4">
      <c r="A4" s="10" t="inlineStr">
        <is>
          <t>POI-PAMPLIN-DEAN</t>
        </is>
      </c>
      <c r="B4" s="10" t="inlineStr">
        <is>
          <t>Pamplin College of Business - Dean's Office</t>
        </is>
      </c>
      <c r="C4" s="10" t="inlineStr">
        <is>
          <t>Pamplin dean;business school office</t>
        </is>
      </c>
      <c r="D4" s="10" t="inlineStr">
        <is>
          <t>VT-PAMPLIN</t>
        </is>
      </c>
      <c r="E4" s="10" t="inlineStr">
        <is>
          <t>N-PAMPLIN-EN</t>
        </is>
      </c>
      <c r="F4" s="10" t="inlineStr"/>
      <c r="G4" s="10" t="inlineStr">
        <is>
          <t>office</t>
        </is>
      </c>
      <c r="H4" s="10" t="inlineStr">
        <is>
          <t>inferred</t>
        </is>
      </c>
      <c r="I4" s="10">
        <f>IF(OR(H4="official",H4="field_verified"),"CONFIRMED","UNKNOWN")</f>
        <v/>
      </c>
      <c r="J4" s="10" t="inlineStr">
        <is>
          <t>Room number unknown. Mapped to the building's north entrance.</t>
        </is>
      </c>
    </row>
    <row r="5">
      <c r="A5" s="10" t="inlineStr">
        <is>
          <t>POI-MUSEUM-GEO</t>
        </is>
      </c>
      <c r="B5" s="10" t="inlineStr">
        <is>
          <t>Museum of Geosciences</t>
        </is>
      </c>
      <c r="C5" s="10" t="inlineStr">
        <is>
          <t>Geosciences Museum;Derring museum</t>
        </is>
      </c>
      <c r="D5" s="10" t="inlineStr">
        <is>
          <t>VT-DERRING</t>
        </is>
      </c>
      <c r="E5" s="10" t="inlineStr">
        <is>
          <t>N-DERRING-EN</t>
        </is>
      </c>
      <c r="F5" s="10" t="inlineStr"/>
      <c r="G5" s="10" t="inlineStr">
        <is>
          <t>attraction</t>
        </is>
      </c>
      <c r="H5" s="10" t="inlineStr">
        <is>
          <t>inferred</t>
        </is>
      </c>
      <c r="I5" s="10">
        <f>IF(OR(H5="official",H5="field_verified"),"CONFIRMED","UNKNOWN")</f>
        <v/>
      </c>
      <c r="J5" s="10" t="inlineStr">
        <is>
          <t>Inside Derring Hall. Floor and room unknown.</t>
        </is>
      </c>
    </row>
    <row r="6">
      <c r="A6" s="10" t="inlineStr">
        <is>
          <t>POI-NEWMAN-CAFE</t>
        </is>
      </c>
      <c r="B6" s="10" t="inlineStr">
        <is>
          <t>Newman Library cafe</t>
        </is>
      </c>
      <c r="C6" s="10" t="inlineStr">
        <is>
          <t>library coffee;Au Bon Pain</t>
        </is>
      </c>
      <c r="D6" s="10" t="inlineStr">
        <is>
          <t>VT-NEWMAN-LIB</t>
        </is>
      </c>
      <c r="E6" s="10" t="inlineStr">
        <is>
          <t>N-NEWMAN-LIB-E2</t>
        </is>
      </c>
      <c r="F6" s="10" t="inlineStr">
        <is>
          <t>01</t>
        </is>
      </c>
      <c r="G6" s="10" t="inlineStr">
        <is>
          <t>dining</t>
        </is>
      </c>
      <c r="H6" s="10" t="inlineStr">
        <is>
          <t>inferred</t>
        </is>
      </c>
      <c r="I6" s="10">
        <f>IF(OR(H6="official",H6="field_verified"),"CONFIRMED","UNKNOWN")</f>
        <v/>
      </c>
      <c r="J6" s="10" t="inlineStr">
        <is>
          <t>Lobby cafe added in the 2009 renovation.</t>
        </is>
      </c>
    </row>
    <row r="7">
      <c r="A7" s="10" t="inlineStr">
        <is>
          <t>POI-BURRUSS-AUD</t>
        </is>
      </c>
      <c r="B7" s="10" t="inlineStr">
        <is>
          <t>Burruss Auditorium</t>
        </is>
      </c>
      <c r="C7" s="10" t="inlineStr">
        <is>
          <t>Burruss Hall Auditorium</t>
        </is>
      </c>
      <c r="D7" s="10" t="inlineStr">
        <is>
          <t>VT-BURRUSS</t>
        </is>
      </c>
      <c r="E7" s="10" t="inlineStr">
        <is>
          <t>N-BURRUSS-E1</t>
        </is>
      </c>
      <c r="F7" s="10" t="inlineStr">
        <is>
          <t>01-02</t>
        </is>
      </c>
      <c r="G7" s="10" t="inlineStr">
        <is>
          <t>venue</t>
        </is>
      </c>
      <c r="H7" s="10" t="inlineStr">
        <is>
          <t>inferred</t>
        </is>
      </c>
      <c r="I7" s="10">
        <f>IF(OR(H7="official",H7="field_verified"),"CONFIRMED","UNKNOWN")</f>
        <v/>
      </c>
      <c r="J7" s="10" t="inlineStr">
        <is>
          <t>3,003-seat auditorium. WARNING: its mapped entrance is the stepped Drillfield front.</t>
        </is>
      </c>
    </row>
    <row r="8">
      <c r="A8" s="10" t="inlineStr">
        <is>
          <t>POI-SQUIRES-FOOD</t>
        </is>
      </c>
      <c r="B8" s="10" t="inlineStr">
        <is>
          <t>Squires Food Court</t>
        </is>
      </c>
      <c r="C8" s="10" t="inlineStr">
        <is>
          <t>Squires dining</t>
        </is>
      </c>
      <c r="D8" s="10" t="inlineStr">
        <is>
          <t>VT-SQUIRES</t>
        </is>
      </c>
      <c r="E8" s="10" t="inlineStr">
        <is>
          <t>N-SQUIRES-E1</t>
        </is>
      </c>
      <c r="F8" s="10" t="inlineStr">
        <is>
          <t>01</t>
        </is>
      </c>
      <c r="G8" s="10" t="inlineStr">
        <is>
          <t>dining</t>
        </is>
      </c>
      <c r="H8" s="10" t="inlineStr">
        <is>
          <t>inferred</t>
        </is>
      </c>
      <c r="I8" s="10">
        <f>IF(OR(H8="official",H8="field_verified"),"CONFIRMED","UNKNOWN")</f>
        <v/>
      </c>
      <c r="J8" s="10" t="inlineStr">
        <is>
          <t>Listed as D4 on the 2025 campus map.</t>
        </is>
      </c>
    </row>
    <row r="9">
      <c r="A9" s="10" t="inlineStr">
        <is>
          <t>POI-CUBE</t>
        </is>
      </c>
      <c r="B9" s="10" t="inlineStr">
        <is>
          <t>The Cube</t>
        </is>
      </c>
      <c r="C9" s="10" t="inlineStr">
        <is>
          <t>Moss Cube;CFA Cube</t>
        </is>
      </c>
      <c r="D9" s="10" t="inlineStr">
        <is>
          <t>VT-CFA</t>
        </is>
      </c>
      <c r="E9" s="10" t="inlineStr">
        <is>
          <t>N-CFA-E1</t>
        </is>
      </c>
      <c r="F9" s="10" t="inlineStr"/>
      <c r="G9" s="10" t="inlineStr">
        <is>
          <t>venue</t>
        </is>
      </c>
      <c r="H9" s="10" t="inlineStr">
        <is>
          <t>inferred</t>
        </is>
      </c>
      <c r="I9" s="10">
        <f>IF(OR(H9="official",H9="field_verified"),"CONFIRMED","UNKNOWN")</f>
        <v/>
      </c>
      <c r="J9" s="10" t="inlineStr">
        <is>
          <t>Four-storey experimental theatre inside the Center for the Arts.</t>
        </is>
      </c>
    </row>
  </sheetData>
  <autoFilter ref="A1:J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36" customWidth="1" min="3" max="3"/>
    <col width="26" customWidth="1" min="4" max="4"/>
    <col width="26" customWidth="1" min="5" max="5"/>
    <col width="26" customWidth="1" min="6" max="6"/>
    <col width="17" customWidth="1" min="7" max="7"/>
    <col width="100" customWidth="1" min="8" max="8"/>
  </cols>
  <sheetData>
    <row r="1">
      <c r="A1" s="6" t="inlineStr">
        <is>
          <t>asset_id</t>
        </is>
      </c>
      <c r="B1" s="6" t="inlineStr">
        <is>
          <t>status</t>
        </is>
      </c>
      <c r="C1" s="6" t="inlineStr">
        <is>
          <t>reason</t>
        </is>
      </c>
      <c r="D1" s="6" t="inlineStr">
        <is>
          <t>reported_at</t>
        </is>
      </c>
      <c r="E1" s="6" t="inlineStr">
        <is>
          <t>expected_end</t>
        </is>
      </c>
      <c r="F1" s="6" t="inlineStr">
        <is>
          <t>source</t>
        </is>
      </c>
      <c r="G1" s="6" t="inlineStr">
        <is>
          <t>confidence</t>
        </is>
      </c>
      <c r="H1" s="6" t="inlineStr">
        <is>
          <t>notes</t>
        </is>
      </c>
    </row>
    <row r="2">
      <c r="A2" s="17" t="inlineStr">
        <is>
          <t>VT-BURRUSS-ELEV-1</t>
        </is>
      </c>
      <c r="B2" s="17" t="inlineStr">
        <is>
          <t>closed</t>
        </is>
      </c>
      <c r="C2" s="17" t="inlineStr">
        <is>
          <t>Maintenance</t>
        </is>
      </c>
      <c r="D2" s="17" t="inlineStr">
        <is>
          <t>2026-09-19T14:00:00-04:00</t>
        </is>
      </c>
      <c r="E2" s="17" t="inlineStr">
        <is>
          <t>2026-09-19T18:00:00-04:00</t>
        </is>
      </c>
      <c r="F2" s="17" t="inlineStr">
        <is>
          <t>Facilities</t>
        </is>
      </c>
      <c r="G2" s="17" t="inlineStr">
        <is>
          <t>official</t>
        </is>
      </c>
      <c r="H2" s="17" t="inlineStr">
        <is>
          <t>EXAMPLE ROW from the AccessPath spec. Drives the outage demo.</t>
        </is>
      </c>
    </row>
    <row r="3">
      <c r="A3" s="17" t="inlineStr">
        <is>
          <t>VT-SQUIRES-ELEV-1</t>
        </is>
      </c>
      <c r="B3" s="17" t="inlineStr">
        <is>
          <t>available</t>
        </is>
      </c>
      <c r="C3" s="17" t="inlineStr">
        <is>
          <t>Routine check passed</t>
        </is>
      </c>
      <c r="D3" s="17" t="inlineStr">
        <is>
          <t>2026-09-19T08:15:00-04:00</t>
        </is>
      </c>
      <c r="E3" s="17" t="inlineStr"/>
      <c r="F3" s="17" t="inlineStr">
        <is>
          <t>Facilities</t>
        </is>
      </c>
      <c r="G3" s="17" t="inlineStr">
        <is>
          <t>official</t>
        </is>
      </c>
      <c r="H3" s="17" t="inlineStr">
        <is>
          <t>EXAMPLE of a positive confirmation overriding an unknown baseline.</t>
        </is>
      </c>
    </row>
    <row r="4">
      <c r="A4" s="17" t="inlineStr">
        <is>
          <t>SEG-014</t>
        </is>
      </c>
      <c r="B4" s="17" t="inlineStr">
        <is>
          <t>closed</t>
        </is>
      </c>
      <c r="C4" s="17" t="inlineStr">
        <is>
          <t>Alumni Mall resurfacing</t>
        </is>
      </c>
      <c r="D4" s="17" t="inlineStr">
        <is>
          <t>2026-09-15T07:00:00-04:00</t>
        </is>
      </c>
      <c r="E4" s="17" t="inlineStr">
        <is>
          <t>2026-09-26T17:00:00-04:00</t>
        </is>
      </c>
      <c r="F4" s="17" t="inlineStr">
        <is>
          <t>Facilities</t>
        </is>
      </c>
      <c r="G4" s="17" t="inlineStr">
        <is>
          <t>official</t>
        </is>
      </c>
      <c r="H4" s="17" t="inlineStr">
        <is>
          <t>EXAMPLE path closure - forces a reroute to Squires via SEG-015/016.</t>
        </is>
      </c>
    </row>
    <row r="5">
      <c r="A5" s="17" t="inlineStr">
        <is>
          <t>SEG-028</t>
        </is>
      </c>
      <c r="B5" s="17" t="inlineStr">
        <is>
          <t>closed</t>
        </is>
      </c>
      <c r="C5" s="17" t="inlineStr">
        <is>
          <t>Mitchell Hall construction site</t>
        </is>
      </c>
      <c r="D5" s="17" t="inlineStr">
        <is>
          <t>2026-08-01T00:00:00-04:00</t>
        </is>
      </c>
      <c r="E5" s="17" t="inlineStr">
        <is>
          <t>2028-08-01T00:00:00-04:00</t>
        </is>
      </c>
      <c r="F5" s="17" t="inlineStr">
        <is>
          <t>Facilities</t>
        </is>
      </c>
      <c r="G5" s="17" t="inlineStr">
        <is>
          <t>official</t>
        </is>
      </c>
      <c r="H5" s="17" t="inlineStr">
        <is>
          <t>EXAMPLE long-running closure. A building on the current campus map that cannot be entered at all.</t>
        </is>
      </c>
    </row>
    <row r="6">
      <c r="A6" s="17" t="inlineStr">
        <is>
          <t>VT-BURRUSS-E2</t>
        </is>
      </c>
      <c r="B6" s="17" t="inlineStr">
        <is>
          <t>step_free</t>
        </is>
      </c>
      <c r="C6" s="17" t="inlineStr">
        <is>
          <t>Reported usable by a wheelchair user</t>
        </is>
      </c>
      <c r="D6" s="17" t="inlineStr">
        <is>
          <t>2026-09-17T11:40:00-04:00</t>
        </is>
      </c>
      <c r="E6" s="17" t="inlineStr"/>
      <c r="F6" s="17" t="inlineStr">
        <is>
          <t>AccessPath user report</t>
        </is>
      </c>
      <c r="G6" s="17" t="inlineStr">
        <is>
          <t>community_report</t>
        </is>
      </c>
      <c r="H6" s="17" t="inlineStr">
        <is>
          <t>EXAMPLE community report. NOTE: step_free is an accessibility_status, not an operational_status. The spec's status column does not say which vocabulary it draws on. See README item 3.</t>
        </is>
      </c>
    </row>
    <row r="7">
      <c r="A7" s="17" t="inlineStr">
        <is>
          <t>VT-TORG-ELEV-B3</t>
        </is>
      </c>
      <c r="B7" s="17" t="inlineStr">
        <is>
          <t>unknown</t>
        </is>
      </c>
      <c r="C7" s="17" t="inlineStr">
        <is>
          <t>No recent signal</t>
        </is>
      </c>
      <c r="D7" s="17" t="inlineStr">
        <is>
          <t>2026-09-19T00:00:00-04:00</t>
        </is>
      </c>
      <c r="E7" s="17" t="inlineStr"/>
      <c r="F7" s="17" t="inlineStr">
        <is>
          <t>AccessPath staleness job</t>
        </is>
      </c>
      <c r="G7" s="17" t="inlineStr">
        <is>
          <t>inferred</t>
        </is>
      </c>
      <c r="H7" s="17" t="inlineStr">
        <is>
          <t>EXAMPLE of an entry ageing out to unknown.</t>
        </is>
      </c>
    </row>
  </sheetData>
  <autoFilter ref="A1:H7"/>
  <dataValidations count="1">
    <dataValidation sqref="G2:G400" showDropDown="0" showInputMessage="0" showErrorMessage="0" allowBlank="1" type="list">
      <formula1>"official,field_verified,community_report,inferred"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56" customWidth="1" min="2" max="2"/>
    <col width="64" customWidth="1" min="3" max="3"/>
    <col width="14" customWidth="1" min="4" max="4"/>
    <col width="60" customWidth="1" min="5" max="5"/>
    <col width="52" customWidth="1" min="6" max="6"/>
    <col width="18" customWidth="1" min="7" max="7"/>
    <col width="92" customWidth="1" min="8" max="8"/>
  </cols>
  <sheetData>
    <row r="1">
      <c r="A1" s="6" t="inlineStr">
        <is>
          <t>source_id</t>
        </is>
      </c>
      <c r="B1" s="6" t="inlineStr">
        <is>
          <t>source_name</t>
        </is>
      </c>
      <c r="C1" s="6" t="inlineStr">
        <is>
          <t>url</t>
        </is>
      </c>
      <c r="D1" s="6" t="inlineStr">
        <is>
          <t>retrieved_date</t>
        </is>
      </c>
      <c r="E1" s="6" t="inlineStr">
        <is>
          <t>covers</t>
        </is>
      </c>
      <c r="F1" s="6" t="inlineStr">
        <is>
          <t>license</t>
        </is>
      </c>
      <c r="G1" s="6" t="inlineStr">
        <is>
          <t>reliability</t>
        </is>
      </c>
      <c r="H1" s="6" t="inlineStr">
        <is>
          <t>notes</t>
        </is>
      </c>
    </row>
    <row r="2">
      <c r="A2" s="10" t="inlineStr">
        <is>
          <t>SRC-01</t>
        </is>
      </c>
      <c r="B2" s="10" t="inlineStr">
        <is>
          <t>CDCD Building Floorplan Mirror (uploaded floorplans.zip)</t>
        </is>
      </c>
      <c r="C2" s="10" t="inlineStr">
        <is>
          <t>(local archive, originally cdcd.vt.edu)</t>
        </is>
      </c>
      <c r="D2" s="10" t="inlineStr">
        <is>
          <t>2006-09-07</t>
        </is>
      </c>
      <c r="E2" s="10" t="inlineStr">
        <is>
          <t>603 floorplan GIFs for 252 buildings + building index</t>
        </is>
      </c>
      <c r="F2" s="10" t="inlineStr">
        <is>
          <t>Unknown - third-party mirror, permission not established</t>
        </is>
      </c>
      <c r="G2" s="10" t="inlineStr">
        <is>
          <t>Low (20 years stale)</t>
        </is>
      </c>
      <c r="H2" s="10" t="inlineStr">
        <is>
          <t>Covers no building constructed after Sept 2006.</t>
        </is>
      </c>
    </row>
    <row r="3">
      <c r="A3" s="10" t="inlineStr">
        <is>
          <t>SRC-02</t>
        </is>
      </c>
      <c r="B3" s="10" t="inlineStr">
        <is>
          <t>VT Main Campus Map (vt_main_map.pdf, inside the upload)</t>
        </is>
      </c>
      <c r="C3" s="10" t="inlineStr">
        <is>
          <t>(local archive)</t>
        </is>
      </c>
      <c r="D3" s="10" t="inlineStr">
        <is>
          <t>2007-01-30</t>
        </is>
      </c>
      <c r="E3" s="10" t="inlineStr">
        <is>
          <t>116 main-campus buildings with grid refs</t>
        </is>
      </c>
      <c r="F3" s="10" t="inlineStr">
        <is>
          <t>Virginia Tech</t>
        </is>
      </c>
      <c r="G3" s="10" t="inlineStr">
        <is>
          <t>Low (stale)</t>
        </is>
      </c>
      <c r="H3" s="10" t="inlineStr">
        <is>
          <t>Grid references only.</t>
        </is>
      </c>
    </row>
    <row r="4">
      <c r="A4" s="10" t="inlineStr">
        <is>
          <t>SRC-03</t>
        </is>
      </c>
      <c r="B4" s="10" t="inlineStr">
        <is>
          <t>VT building pages, vt.edu/about/locations/buildings/*</t>
        </is>
      </c>
      <c r="C4" s="10" t="inlineStr">
        <is>
          <t>https://www.vt.edu/about/locations/buildings/</t>
        </is>
      </c>
      <c r="D4" s="10" t="inlineStr">
        <is>
          <t>2026-09-19</t>
        </is>
      </c>
      <c r="E4" s="10" t="inlineStr">
        <is>
          <t>Official name, number, abbreviation, address, grid and COORDINATES</t>
        </is>
      </c>
      <c r="F4" s="10" t="inlineStr">
        <is>
          <t>Virginia Tech</t>
        </is>
      </c>
      <c r="G4" s="10" t="inlineStr">
        <is>
          <t>High</t>
        </is>
      </c>
      <c r="H4" s="10" t="inlineStr">
        <is>
          <t>Source of every coordinate marked OFFICIAL. 13 of 14 pilot buildings.</t>
        </is>
      </c>
    </row>
    <row r="5">
      <c r="A5" s="10" t="inlineStr">
        <is>
          <t>SRC-04</t>
        </is>
      </c>
      <c r="B5" s="10" t="inlineStr">
        <is>
          <t>VT Blacksburg Campus Map 2025</t>
        </is>
      </c>
      <c r="C5" s="10" t="inlineStr">
        <is>
          <t>https://www.vt.edu/content/dam/vt_edu/maps-locations/blacksburg-map-070225.pdf</t>
        </is>
      </c>
      <c r="D5" s="10" t="inlineStr">
        <is>
          <t>2026-09-19</t>
        </is>
      </c>
      <c r="E5" s="10" t="inlineStr">
        <is>
          <t>The authoritative current building list - what is on campus NOW</t>
        </is>
      </c>
      <c r="F5" s="10" t="inlineStr">
        <is>
          <t>Virginia Tech</t>
        </is>
      </c>
      <c r="G5" s="10" t="inlineStr">
        <is>
          <t>High</t>
        </is>
      </c>
      <c r="H5" s="10" t="inlineStr">
        <is>
          <t>Dated 02 July 2025. Used to build the 'new since 2006' analysis and to catch renames.</t>
        </is>
      </c>
    </row>
    <row r="6">
      <c r="A6" s="10" t="inlineStr">
        <is>
          <t>SRC-05</t>
        </is>
      </c>
      <c r="B6" s="10" t="inlineStr">
        <is>
          <t>VT Division of Facilities, capital construction projects</t>
        </is>
      </c>
      <c r="C6" s="10" t="inlineStr">
        <is>
          <t>https://www.facilities.vt.edu/design-construction/capital-construction/campus-construction-projects/</t>
        </is>
      </c>
      <c r="D6" s="10" t="inlineStr">
        <is>
          <t>2026-09-19</t>
        </is>
      </c>
      <c r="E6" s="10" t="inlineStr">
        <is>
          <t>Hitt Hall, D&amp;DS, Mitchell Hall, USLB, CID, Upper Quad; ADA-compliance statements; the Infinite Loop</t>
        </is>
      </c>
      <c r="F6" s="10" t="inlineStr">
        <is>
          <t>Virginia Tech</t>
        </is>
      </c>
      <c r="G6" s="10" t="inlineStr">
        <is>
          <t>High</t>
        </is>
      </c>
      <c r="H6" s="10" t="inlineStr">
        <is>
          <t>Basis for the Hitt Hall elevator and Infinite Loop rows.</t>
        </is>
      </c>
    </row>
    <row r="7">
      <c r="A7" s="10" t="inlineStr">
        <is>
          <t>SRC-06</t>
        </is>
      </c>
      <c r="B7" s="10" t="inlineStr">
        <is>
          <t>Gobblerpedia</t>
        </is>
      </c>
      <c r="C7" s="10" t="inlineStr">
        <is>
          <t>https://gobblerpedia.org/</t>
        </is>
      </c>
      <c r="D7" s="10" t="inlineStr">
        <is>
          <t>(undated)</t>
        </is>
      </c>
      <c r="E7" s="10" t="inlineStr">
        <is>
          <t>Whittemore 3rd-floor bridges</t>
        </is>
      </c>
      <c r="F7" s="10" t="inlineStr">
        <is>
          <t>Community wiki</t>
        </is>
      </c>
      <c r="G7" s="10" t="inlineStr">
        <is>
          <t>Low</t>
        </is>
      </c>
      <c r="H7" s="10" t="inlineStr">
        <is>
          <t>Treated as community_report.</t>
        </is>
      </c>
    </row>
    <row r="8">
      <c r="A8" s="7" t="inlineStr">
        <is>
          <t>SRC-07</t>
        </is>
      </c>
      <c r="B8" s="18" t="inlineStr">
        <is>
          <t>VT Accessibility Portal + official Interactive Campus Map</t>
        </is>
      </c>
      <c r="C8" s="7" t="inlineStr">
        <is>
          <t>https://accessibility.vt.edu/</t>
        </is>
      </c>
      <c r="D8" s="7" t="inlineStr">
        <is>
          <t>2026-09-19</t>
        </is>
      </c>
      <c r="E8" s="7" t="inlineStr">
        <is>
          <t>VT ALREADY PUBLISHES accessible entrances, elevators/lifts, curb cuts and accessible-only routing</t>
        </is>
      </c>
      <c r="F8" s="7" t="inlineStr">
        <is>
          <t>Virginia Tech</t>
        </is>
      </c>
      <c r="G8" s="7" t="inlineStr">
        <is>
          <t>High</t>
        </is>
      </c>
      <c r="H8" s="7" t="inlineStr">
        <is>
          <t>THE KEY SOURCE. Layers menu on the interactive map. Built by VT Enterprise GIS with the ADA campus accessibility architect. This is the real confirmed data - go get it.</t>
        </is>
      </c>
    </row>
    <row r="9">
      <c r="A9" s="7" t="inlineStr">
        <is>
          <t>SRC-08</t>
        </is>
      </c>
      <c r="B9" s="18" t="inlineStr">
        <is>
          <t>VT Facilities GIS data via University Libraries geo-data portal</t>
        </is>
      </c>
      <c r="C9" s="7" t="inlineStr">
        <is>
          <t>https://guides.lib.vt.edu/c.php?g=660137&amp;p=4634742</t>
        </is>
      </c>
      <c r="D9" s="7" t="inlineStr">
        <is>
          <t>2026-09-19</t>
        </is>
      </c>
      <c r="E9" s="7" t="inlineStr">
        <is>
          <t>VT basemap, boundary, BUILDINGS, 5ft contours, road centrelines, parcels</t>
        </is>
      </c>
      <c r="F9" s="7" t="inlineStr">
        <is>
          <t>Virginia Tech</t>
        </is>
      </c>
      <c r="G9" s="7" t="inlineStr">
        <is>
          <t>High</t>
        </is>
      </c>
      <c r="H9" s="7" t="inlineStr">
        <is>
          <t>Downloadable by VT students/faculty/staff FROM A CAMPUS IP. You qualify. Gives real building footprints instead of centroids.</t>
        </is>
      </c>
    </row>
    <row r="10">
      <c r="A10" s="15" t="inlineStr">
        <is>
          <t>SRC-09</t>
        </is>
      </c>
      <c r="B10" s="16" t="inlineStr">
        <is>
          <t>NOT YET OBTAINED - VT ADA &amp; Accessibility Services / Enterprise GIS</t>
        </is>
      </c>
      <c r="C10" s="15" t="inlineStr">
        <is>
          <t>https://accessibility.vt.edu/</t>
        </is>
      </c>
      <c r="D10" s="15" t="inlineStr"/>
      <c r="E10" s="15" t="inlineStr">
        <is>
          <t>Accessible entrance list, elevator inventory with asset IDs, live outage feed</t>
        </is>
      </c>
      <c r="F10" s="15" t="inlineStr"/>
      <c r="G10" s="15" t="inlineStr"/>
      <c r="H10" s="15" t="inlineStr">
        <is>
          <t>ACTION: email them. Ask for the accessibility layer behind the interactive map, and the elevator asset ID scheme.</t>
        </is>
      </c>
    </row>
    <row r="11">
      <c r="A11" s="15" t="inlineStr">
        <is>
          <t>SRC-10</t>
        </is>
      </c>
      <c r="B11" s="16" t="inlineStr">
        <is>
          <t>NOT YET OBTAINED - your own field survey</t>
        </is>
      </c>
      <c r="C11" s="15" t="inlineStr"/>
      <c r="D11" s="15" t="inlineStr"/>
      <c r="E11" s="15" t="inlineStr">
        <is>
          <t>The only way to get field_verified rows before the hackathon</t>
        </is>
      </c>
      <c r="F11" s="15" t="inlineStr"/>
      <c r="G11" s="15" t="inlineStr"/>
      <c r="H11" s="15" t="inlineStr">
        <is>
          <t>ACTION: see the Field Survey tab. ~2 hours of walking converts this file from all-unknown to a real demo.</t>
        </is>
      </c>
    </row>
  </sheetData>
  <autoFilter ref="A1:H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cols>
    <col width="11" customWidth="1" min="1" max="1"/>
    <col width="22" customWidth="1" min="2" max="2"/>
    <col width="26" customWidth="1" min="3" max="3"/>
    <col width="30" customWidth="1" min="4" max="4"/>
    <col width="52" customWidth="1" min="5" max="5"/>
    <col width="12" customWidth="1" min="6" max="6"/>
    <col width="11" customWidth="1" min="7" max="7"/>
    <col width="28" customWidth="1" min="8" max="8"/>
    <col width="20" customWidth="1" min="9" max="9"/>
    <col width="26" customWidth="1" min="10" max="10"/>
  </cols>
  <sheetData>
    <row r="1">
      <c r="A1" s="19" t="inlineStr">
        <is>
          <t>FIELD SURVEY - turn UNKNOWN into CONFIRMED</t>
        </is>
      </c>
      <c r="B1" s="2" t="inlineStr"/>
    </row>
    <row r="2">
      <c r="A2" s="20" t="inlineStr"/>
      <c r="B2" s="2" t="inlineStr"/>
    </row>
    <row r="3">
      <c r="A3" s="20" t="inlineStr">
        <is>
          <t>Why</t>
        </is>
      </c>
      <c r="B3" s="2" t="inlineStr">
        <is>
          <t>Every accessibility value in this workbook is currently a guess. Fifteen confirmed entrances is the difference between a demo that shows real step-free routing and one that shows a grey map.</t>
        </is>
      </c>
    </row>
    <row r="4">
      <c r="A4" s="20" t="inlineStr">
        <is>
          <t>Time</t>
        </is>
      </c>
      <c r="B4" s="2" t="inlineStr">
        <is>
          <t>About two hours on foot for the 15 rows below, walked in the given order. Start at Squires, end at Hitt.</t>
        </is>
      </c>
    </row>
    <row r="5">
      <c r="A5" s="20" t="inlineStr">
        <is>
          <t>What to record</t>
        </is>
      </c>
      <c r="B5" s="2" t="inlineStr">
        <is>
          <t>For each door: is there a step? How many? Is there a ramp or a level approach nearby? Does the door open automatically or need a hard pull?</t>
        </is>
      </c>
    </row>
    <row r="6">
      <c r="A6" s="20" t="inlineStr">
        <is>
          <t>Deciding step_free</t>
        </is>
      </c>
      <c r="B6" s="2" t="inlineStr">
        <is>
          <t>No step at all, or a ramp you could roll up unaided, AND the door can be opened from a seated position. Any lip over about 13 mm is NOT step free - record it as limited and note the height.</t>
        </is>
      </c>
    </row>
    <row r="7">
      <c r="A7" s="20" t="inlineStr">
        <is>
          <t>limited vs stairs</t>
        </is>
      </c>
      <c r="B7" s="2" t="inlineStr">
        <is>
          <t>limited = passable by some wheelchair users but not all (steep ramp, heavy door, narrow width). stairs = steps with no step-free alternative at this door.</t>
        </is>
      </c>
    </row>
    <row r="8">
      <c r="A8" s="20" t="inlineStr">
        <is>
          <t>How to file it</t>
        </is>
      </c>
      <c r="B8" s="2" t="inlineStr">
        <is>
          <t>Fill the last five columns, then copy each finished row's values into the matching row of the Entrances tab and set confidence = field_verified. display_tier flips to CONFIRMED automatically.</t>
        </is>
      </c>
    </row>
    <row r="9">
      <c r="A9" s="20" t="inlineStr">
        <is>
          <t>Photograph everything</t>
        </is>
      </c>
      <c r="B9" s="2" t="inlineStr">
        <is>
          <t>One photo per door. If a judge asks how you know, the photo is the answer.</t>
        </is>
      </c>
    </row>
    <row r="10">
      <c r="A10" s="20" t="inlineStr">
        <is>
          <t>Do not guess</t>
        </is>
      </c>
      <c r="B10" s="5" t="inlineStr">
        <is>
          <t>A blank row is fine. A wrong step_free is how someone ends up stuck at the bottom of a flight of stairs.</t>
        </is>
      </c>
    </row>
    <row r="11">
      <c r="A11" s="20" t="inlineStr"/>
      <c r="B11" s="2" t="inlineStr"/>
    </row>
    <row r="12">
      <c r="A12" s="6" t="inlineStr">
        <is>
          <t>walk_order</t>
        </is>
      </c>
      <c r="B12" s="6" t="inlineStr">
        <is>
          <t>entrance_id</t>
        </is>
      </c>
      <c r="C12" s="6" t="inlineStr">
        <is>
          <t>building</t>
        </is>
      </c>
      <c r="D12" s="6" t="inlineStr">
        <is>
          <t>which door</t>
        </is>
      </c>
      <c r="E12" s="6" t="inlineStr">
        <is>
          <t>why this one first</t>
        </is>
      </c>
      <c r="F12" s="6" t="inlineStr">
        <is>
          <t>step? (y/n)</t>
        </is>
      </c>
      <c r="G12" s="6" t="inlineStr">
        <is>
          <t>step_count</t>
        </is>
      </c>
      <c r="H12" s="6" t="inlineStr">
        <is>
          <t>ramp or level route nearby?</t>
        </is>
      </c>
      <c r="I12" s="6" t="inlineStr">
        <is>
          <t>door opens easily?</t>
        </is>
      </c>
      <c r="J12" s="6" t="inlineStr">
        <is>
          <t>your accessibility_status</t>
        </is>
      </c>
    </row>
    <row r="13">
      <c r="A13" s="21" t="n">
        <v>1</v>
      </c>
      <c r="B13" s="21" t="inlineStr">
        <is>
          <t>VT-SQUIRES-E1</t>
        </is>
      </c>
      <c r="C13" s="21" t="inlineStr">
        <is>
          <t>Squires Student Center</t>
        </is>
      </c>
      <c r="D13" s="21" t="inlineStr">
        <is>
          <t>Alumni Mall / west side</t>
        </is>
      </c>
      <c r="E13" s="21" t="inlineStr">
        <is>
          <t>Busiest student building in the pilot.</t>
        </is>
      </c>
      <c r="F13" s="22" t="inlineStr"/>
      <c r="G13" s="22" t="inlineStr"/>
      <c r="H13" s="22" t="inlineStr"/>
      <c r="I13" s="22" t="inlineStr"/>
      <c r="J13" s="22" t="inlineStr"/>
    </row>
    <row r="14">
      <c r="A14" s="21" t="n">
        <v>2</v>
      </c>
      <c r="B14" s="21" t="inlineStr">
        <is>
          <t>VT-SQUIRES-E2</t>
        </is>
      </c>
      <c r="C14" s="21" t="inlineStr">
        <is>
          <t>Squires Student Center</t>
        </is>
      </c>
      <c r="D14" s="21" t="inlineStr">
        <is>
          <t>College Avenue side</t>
        </is>
      </c>
      <c r="E14" s="21" t="inlineStr">
        <is>
          <t>Second door - needed for the perimeter link.</t>
        </is>
      </c>
      <c r="F14" s="22" t="inlineStr"/>
      <c r="G14" s="22" t="inlineStr"/>
      <c r="H14" s="22" t="inlineStr"/>
      <c r="I14" s="22" t="inlineStr"/>
      <c r="J14" s="22" t="inlineStr"/>
    </row>
    <row r="15">
      <c r="A15" s="21" t="n">
        <v>3</v>
      </c>
      <c r="B15" s="21" t="inlineStr">
        <is>
          <t>VT-NEWMAN-LIB-E2</t>
        </is>
      </c>
      <c r="C15" s="21" t="inlineStr">
        <is>
          <t>Newman Library</t>
        </is>
      </c>
      <c r="D15" s="21" t="inlineStr">
        <is>
          <t>Alumni Mall / north side</t>
        </is>
      </c>
      <c r="E15" s="21" t="inlineStr">
        <is>
          <t>No floorplan exists for this building at all.</t>
        </is>
      </c>
      <c r="F15" s="22" t="inlineStr"/>
      <c r="G15" s="22" t="inlineStr"/>
      <c r="H15" s="22" t="inlineStr"/>
      <c r="I15" s="22" t="inlineStr"/>
      <c r="J15" s="22" t="inlineStr"/>
    </row>
    <row r="16">
      <c r="A16" s="21" t="n">
        <v>4</v>
      </c>
      <c r="B16" s="21" t="inlineStr">
        <is>
          <t>VT-NEWMAN-LIB-E1</t>
        </is>
      </c>
      <c r="C16" s="21" t="inlineStr">
        <is>
          <t>Newman Library</t>
        </is>
      </c>
      <c r="D16" s="21" t="inlineStr">
        <is>
          <t>Drillfield (west) side</t>
        </is>
      </c>
      <c r="E16" s="21" t="inlineStr">
        <is>
          <t>Same - zero interior data.</t>
        </is>
      </c>
      <c r="F16" s="22" t="inlineStr"/>
      <c r="G16" s="22" t="inlineStr"/>
      <c r="H16" s="22" t="inlineStr"/>
      <c r="I16" s="22" t="inlineStr"/>
      <c r="J16" s="22" t="inlineStr"/>
    </row>
    <row r="17">
      <c r="A17" s="21" t="n">
        <v>5</v>
      </c>
      <c r="B17" s="21" t="inlineStr">
        <is>
          <t>VT-TORGERSEN-E1</t>
        </is>
      </c>
      <c r="C17" s="21" t="inlineStr">
        <is>
          <t>Torgersen Hall</t>
        </is>
      </c>
      <c r="D17" s="21" t="inlineStr">
        <is>
          <t>Alumni Mall / south side</t>
        </is>
      </c>
      <c r="E17" s="21" t="inlineStr">
        <is>
          <t>Feeds the Torgersen-Newman bridge route.</t>
        </is>
      </c>
      <c r="F17" s="22" t="inlineStr"/>
      <c r="G17" s="22" t="inlineStr"/>
      <c r="H17" s="22" t="inlineStr"/>
      <c r="I17" s="22" t="inlineStr"/>
      <c r="J17" s="22" t="inlineStr"/>
    </row>
    <row r="18">
      <c r="A18" s="21" t="n">
        <v>6</v>
      </c>
      <c r="B18" s="21" t="inlineStr">
        <is>
          <t>VT-TORGERSEN-E2</t>
        </is>
      </c>
      <c r="C18" s="21" t="inlineStr">
        <is>
          <t>Torgersen Hall</t>
        </is>
      </c>
      <c r="D18" s="21" t="inlineStr">
        <is>
          <t>North side</t>
        </is>
      </c>
      <c r="E18" s="21" t="inlineStr"/>
      <c r="F18" s="22" t="inlineStr"/>
      <c r="G18" s="22" t="inlineStr"/>
      <c r="H18" s="22" t="inlineStr"/>
      <c r="I18" s="22" t="inlineStr"/>
      <c r="J18" s="22" t="inlineStr"/>
    </row>
    <row r="19">
      <c r="A19" s="21" t="n">
        <v>7</v>
      </c>
      <c r="B19" s="21" t="inlineStr">
        <is>
          <t>VT-BURRUSS-E2</t>
        </is>
      </c>
      <c r="C19" s="21" t="inlineStr">
        <is>
          <t>Burruss Hall</t>
        </is>
      </c>
      <c r="D19" s="21" t="inlineStr">
        <is>
          <t>North side</t>
        </is>
      </c>
      <c r="E19" s="21" t="inlineStr">
        <is>
          <t>HIGHEST VALUE ROW. If E2 is step-free, Burruss is reachable; if not, the whole pilot has a hole.</t>
        </is>
      </c>
      <c r="F19" s="22" t="inlineStr"/>
      <c r="G19" s="22" t="inlineStr"/>
      <c r="H19" s="22" t="inlineStr"/>
      <c r="I19" s="22" t="inlineStr"/>
      <c r="J19" s="22" t="inlineStr"/>
    </row>
    <row r="20">
      <c r="A20" s="21" t="n">
        <v>8</v>
      </c>
      <c r="B20" s="21" t="inlineStr">
        <is>
          <t>VT-BURRUSS-E1</t>
        </is>
      </c>
      <c r="C20" s="21" t="inlineStr">
        <is>
          <t>Burruss Hall</t>
        </is>
      </c>
      <c r="D20" s="21" t="inlineStr">
        <is>
          <t>Drillfield (east) front</t>
        </is>
      </c>
      <c r="E20" s="21" t="inlineStr">
        <is>
          <t>Count the steps so the stairs value stops being a guess.</t>
        </is>
      </c>
      <c r="F20" s="22" t="inlineStr"/>
      <c r="G20" s="22" t="inlineStr"/>
      <c r="H20" s="22" t="inlineStr"/>
      <c r="I20" s="22" t="inlineStr"/>
      <c r="J20" s="22" t="inlineStr"/>
    </row>
    <row r="21">
      <c r="A21" s="21" t="n">
        <v>9</v>
      </c>
      <c r="B21" s="21" t="inlineStr">
        <is>
          <t>VT-MCBRYDE-EN</t>
        </is>
      </c>
      <c r="C21" s="21" t="inlineStr">
        <is>
          <t>McBryde Hall</t>
        </is>
      </c>
      <c r="D21" s="21" t="inlineStr">
        <is>
          <t>North entrance</t>
        </is>
      </c>
      <c r="E21" s="21" t="inlineStr">
        <is>
          <t>VT says all four faces have doors - check which are usable.</t>
        </is>
      </c>
      <c r="F21" s="22" t="inlineStr"/>
      <c r="G21" s="22" t="inlineStr"/>
      <c r="H21" s="22" t="inlineStr"/>
      <c r="I21" s="22" t="inlineStr"/>
      <c r="J21" s="22" t="inlineStr"/>
    </row>
    <row r="22">
      <c r="A22" s="21" t="n">
        <v>10</v>
      </c>
      <c r="B22" s="21" t="inlineStr">
        <is>
          <t>VT-MCBRYDE-EW</t>
        </is>
      </c>
      <c r="C22" s="21" t="inlineStr">
        <is>
          <t>McBryde Hall</t>
        </is>
      </c>
      <c r="D22" s="21" t="inlineStr">
        <is>
          <t>West entrance</t>
        </is>
      </c>
      <c r="E22" s="21" t="inlineStr"/>
      <c r="F22" s="22" t="inlineStr"/>
      <c r="G22" s="22" t="inlineStr"/>
      <c r="H22" s="22" t="inlineStr"/>
      <c r="I22" s="22" t="inlineStr"/>
      <c r="J22" s="22" t="inlineStr"/>
    </row>
    <row r="23">
      <c r="A23" s="21" t="n">
        <v>11</v>
      </c>
      <c r="B23" s="21" t="inlineStr">
        <is>
          <t>VT-KELLY-E1</t>
        </is>
      </c>
      <c r="C23" s="21" t="inlineStr">
        <is>
          <t>Kelly Hall</t>
        </is>
      </c>
      <c r="D23" s="21" t="inlineStr">
        <is>
          <t>Stanger Street side</t>
        </is>
      </c>
      <c r="E23" s="21" t="inlineStr">
        <is>
          <t>2008 build - no plan anywhere.</t>
        </is>
      </c>
      <c r="F23" s="22" t="inlineStr"/>
      <c r="G23" s="22" t="inlineStr"/>
      <c r="H23" s="22" t="inlineStr"/>
      <c r="I23" s="22" t="inlineStr"/>
      <c r="J23" s="22" t="inlineStr"/>
    </row>
    <row r="24">
      <c r="A24" s="21" t="n">
        <v>12</v>
      </c>
      <c r="B24" s="21" t="inlineStr">
        <is>
          <t>VT-WHITTEMORE-E1</t>
        </is>
      </c>
      <c r="C24" s="21" t="inlineStr">
        <is>
          <t>Whittemore Hall</t>
        </is>
      </c>
      <c r="D24" s="21" t="inlineStr">
        <is>
          <t>North side / Perry Street</t>
        </is>
      </c>
      <c r="E24" s="21" t="inlineStr">
        <is>
          <t>Also check the 3rd-floor bridges to Durham and Hancock.</t>
        </is>
      </c>
      <c r="F24" s="22" t="inlineStr"/>
      <c r="G24" s="22" t="inlineStr"/>
      <c r="H24" s="22" t="inlineStr"/>
      <c r="I24" s="22" t="inlineStr"/>
      <c r="J24" s="22" t="inlineStr"/>
    </row>
    <row r="25">
      <c r="A25" s="21" t="n">
        <v>13</v>
      </c>
      <c r="B25" s="21" t="inlineStr">
        <is>
          <t>VT-DURHAM-E1</t>
        </is>
      </c>
      <c r="C25" s="21" t="inlineStr">
        <is>
          <t>Durham Hall</t>
        </is>
      </c>
      <c r="D25" s="21" t="inlineStr">
        <is>
          <t>Perry Street side</t>
        </is>
      </c>
      <c r="E25" s="21" t="inlineStr"/>
      <c r="F25" s="22" t="inlineStr"/>
      <c r="G25" s="22" t="inlineStr"/>
      <c r="H25" s="22" t="inlineStr"/>
      <c r="I25" s="22" t="inlineStr"/>
      <c r="J25" s="22" t="inlineStr"/>
    </row>
    <row r="26">
      <c r="A26" s="21" t="n">
        <v>14</v>
      </c>
      <c r="B26" s="21" t="inlineStr">
        <is>
          <t>VT-GOODWIN-E1</t>
        </is>
      </c>
      <c r="C26" s="21" t="inlineStr">
        <is>
          <t>Goodwin Hall</t>
        </is>
      </c>
      <c r="D26" s="21" t="inlineStr">
        <is>
          <t>Perry Street side</t>
        </is>
      </c>
      <c r="E26" s="21" t="inlineStr">
        <is>
          <t>2014 build - no plan anywhere.</t>
        </is>
      </c>
      <c r="F26" s="22" t="inlineStr"/>
      <c r="G26" s="22" t="inlineStr"/>
      <c r="H26" s="22" t="inlineStr"/>
      <c r="I26" s="22" t="inlineStr"/>
      <c r="J26" s="22" t="inlineStr"/>
    </row>
    <row r="27">
      <c r="A27" s="21" t="n">
        <v>15</v>
      </c>
      <c r="B27" s="21" t="inlineStr">
        <is>
          <t>VT-HITT-E1</t>
        </is>
      </c>
      <c r="C27" s="21" t="inlineStr">
        <is>
          <t>Hitt Hall</t>
        </is>
      </c>
      <c r="D27" s="21" t="inlineStr">
        <is>
          <t>Innovation Plaza</t>
        </is>
      </c>
      <c r="E27" s="21" t="inlineStr">
        <is>
          <t>2024 build. VT claims ADA compliance - verify it, and check the Infinite Loop paving.</t>
        </is>
      </c>
      <c r="F27" s="22" t="inlineStr"/>
      <c r="G27" s="22" t="inlineStr"/>
      <c r="H27" s="22" t="inlineStr"/>
      <c r="I27" s="22" t="inlineStr"/>
      <c r="J27" s="22" t="inlineStr"/>
    </row>
  </sheetData>
  <dataValidations count="2">
    <dataValidation sqref="J13:J27" showDropDown="0" showInputMessage="0" showErrorMessage="0" allowBlank="1" type="list">
      <formula1>"step_free,stairs,limited,unknown"</formula1>
    </dataValidation>
    <dataValidation sqref="F13:F27" showDropDown="0" showInputMessage="0" showErrorMessage="0" allowBlank="1"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90"/>
  <sheetViews>
    <sheetView workbookViewId="0">
      <pane ySplit="1" topLeftCell="A2" activePane="bottomLeft" state="frozen"/>
      <selection pane="bottomLeft" activeCell="A1" sqref="A1"/>
    </sheetView>
  </sheetViews>
  <sheetFormatPr baseColWidth="8" defaultRowHeight="15"/>
  <cols>
    <col width="18" customWidth="1" min="1" max="1"/>
    <col width="58" customWidth="1" min="2" max="2"/>
    <col width="52" customWidth="1" min="3" max="3"/>
    <col width="20" customWidth="1" min="4" max="4"/>
    <col width="40" customWidth="1" min="5" max="5"/>
    <col width="24" customWidth="1" min="6" max="6"/>
    <col width="56" customWidth="1" min="7" max="7"/>
    <col width="86" customWidth="1" min="8" max="8"/>
  </cols>
  <sheetData>
    <row r="1">
      <c r="A1" s="6" t="inlineStr">
        <is>
          <t>building_number</t>
        </is>
      </c>
      <c r="B1" s="6" t="inlineStr">
        <is>
          <t>building_name</t>
        </is>
      </c>
      <c r="C1" s="6" t="inlineStr">
        <is>
          <t>gap_type</t>
        </is>
      </c>
      <c r="D1" s="6" t="inlineStr">
        <is>
          <t>on_2025_campus_map</t>
        </is>
      </c>
      <c r="E1" s="6" t="inlineStr">
        <is>
          <t>name_in_2006_index</t>
        </is>
      </c>
      <c r="F1" s="6" t="inlineStr">
        <is>
          <t>floorplan_files_in_archive</t>
        </is>
      </c>
      <c r="G1" s="6" t="inlineStr">
        <is>
          <t>priority</t>
        </is>
      </c>
      <c r="H1" s="6" t="inlineStr">
        <is>
          <t>notes</t>
        </is>
      </c>
    </row>
    <row r="2">
      <c r="A2" s="23" t="inlineStr">
        <is>
          <t>272</t>
        </is>
      </c>
      <c r="B2" s="23" t="inlineStr">
        <is>
          <t>417 Clay Street (Cranwell House)</t>
        </is>
      </c>
      <c r="C2" s="23" t="inlineStr">
        <is>
          <t>RENAMED_OR_RENUMBERED - plan may be a DIFFERENT building</t>
        </is>
      </c>
      <c r="D2" s="23" t="inlineStr">
        <is>
          <t>yes</t>
        </is>
      </c>
      <c r="E2" s="23" t="inlineStr">
        <is>
          <t>Cranwell International Center</t>
        </is>
      </c>
      <c r="F2" s="23" t="inlineStr">
        <is>
          <t>3 file(s)</t>
        </is>
      </c>
      <c r="G2" s="24" t="inlineStr">
        <is>
          <t>CRITICAL - do not load blindly</t>
        </is>
      </c>
      <c r="H2" s="23" t="inlineStr">
        <is>
          <t>Number 272 was 'Cranwell International Center' in 2006. Verify the plan is this building before importing.</t>
        </is>
      </c>
    </row>
    <row r="3">
      <c r="A3" s="23" t="inlineStr">
        <is>
          <t>183</t>
        </is>
      </c>
      <c r="B3" s="23" t="inlineStr">
        <is>
          <t>Burrows-Burleson Tennis Center</t>
        </is>
      </c>
      <c r="C3" s="23" t="inlineStr">
        <is>
          <t>RENAMED_OR_RENUMBERED - plan may be a DIFFERENT building</t>
        </is>
      </c>
      <c r="D3" s="23" t="inlineStr">
        <is>
          <t>yes</t>
        </is>
      </c>
      <c r="E3" s="23" t="inlineStr">
        <is>
          <t>Indoor Tennis Courts</t>
        </is>
      </c>
      <c r="F3" s="23" t="inlineStr">
        <is>
          <t>2 file(s)</t>
        </is>
      </c>
      <c r="G3" s="24" t="inlineStr">
        <is>
          <t>CRITICAL - do not load blindly</t>
        </is>
      </c>
      <c r="H3" s="23" t="inlineStr">
        <is>
          <t>Number 183 was 'Indoor Tennis Courts' in 2006. Verify the plan is this building before importing.</t>
        </is>
      </c>
    </row>
    <row r="4">
      <c r="A4" s="23" t="inlineStr">
        <is>
          <t>188</t>
        </is>
      </c>
      <c r="B4" s="23" t="inlineStr">
        <is>
          <t>Center for the Arts</t>
        </is>
      </c>
      <c r="C4" s="23" t="inlineStr">
        <is>
          <t>RENAMED_OR_RENUMBERED - plan may be a DIFFERENT building</t>
        </is>
      </c>
      <c r="D4" s="23" t="inlineStr">
        <is>
          <t>yes</t>
        </is>
      </c>
      <c r="E4" s="23" t="inlineStr">
        <is>
          <t>Shultz Hall</t>
        </is>
      </c>
      <c r="F4" s="23" t="inlineStr">
        <is>
          <t>2 file(s)</t>
        </is>
      </c>
      <c r="G4" s="24" t="inlineStr">
        <is>
          <t>CRITICAL - do not load blindly</t>
        </is>
      </c>
      <c r="H4" s="23" t="inlineStr">
        <is>
          <t>Number 188 was 'Shultz Hall' in 2006. Verify the plan is this building before importing.</t>
        </is>
      </c>
    </row>
    <row r="5">
      <c r="A5" s="23" t="inlineStr">
        <is>
          <t>175</t>
        </is>
      </c>
      <c r="B5" s="23" t="inlineStr">
        <is>
          <t>College of Liberal Arts and Human Sciences Building</t>
        </is>
      </c>
      <c r="C5" s="23" t="inlineStr">
        <is>
          <t>RENAMED_OR_RENUMBERED - plan may be a DIFFERENT building</t>
        </is>
      </c>
      <c r="D5" s="23" t="inlineStr">
        <is>
          <t>yes</t>
        </is>
      </c>
      <c r="E5" s="23" t="inlineStr">
        <is>
          <t>Performing Arts Building</t>
        </is>
      </c>
      <c r="F5" s="23" t="inlineStr">
        <is>
          <t>4 file(s)</t>
        </is>
      </c>
      <c r="G5" s="24" t="inlineStr">
        <is>
          <t>CRITICAL - do not load blindly</t>
        </is>
      </c>
      <c r="H5" s="23" t="inlineStr">
        <is>
          <t>Number 175 was 'Performing Arts Building' in 2006. Verify the plan is this building before importing.</t>
        </is>
      </c>
    </row>
    <row r="6">
      <c r="A6" s="23" t="inlineStr">
        <is>
          <t>196</t>
        </is>
      </c>
      <c r="B6" s="23" t="inlineStr">
        <is>
          <t>Corps Leadership and Military Science Building</t>
        </is>
      </c>
      <c r="C6" s="23" t="inlineStr">
        <is>
          <t>RENAMED_OR_RENUMBERED - plan may be a DIFFERENT building</t>
        </is>
      </c>
      <c r="D6" s="23" t="inlineStr">
        <is>
          <t>yes</t>
        </is>
      </c>
      <c r="E6" s="23" t="inlineStr">
        <is>
          <t>Art and Design Learning Center</t>
        </is>
      </c>
      <c r="F6" s="23" t="inlineStr">
        <is>
          <t>2 file(s)</t>
        </is>
      </c>
      <c r="G6" s="24" t="inlineStr">
        <is>
          <t>CRITICAL - do not load blindly</t>
        </is>
      </c>
      <c r="H6" s="23" t="inlineStr">
        <is>
          <t>Number 196 was 'Art and Design Learning Center' in 2006. Verify the plan is this building before importing.</t>
        </is>
      </c>
    </row>
    <row r="7">
      <c r="A7" s="23" t="inlineStr">
        <is>
          <t>240</t>
        </is>
      </c>
      <c r="B7" s="23" t="inlineStr">
        <is>
          <t>Fleet Services Building</t>
        </is>
      </c>
      <c r="C7" s="23" t="inlineStr">
        <is>
          <t>RENAMED_OR_RENUMBERED - plan may be a DIFFERENT building</t>
        </is>
      </c>
      <c r="D7" s="23" t="inlineStr">
        <is>
          <t>yes</t>
        </is>
      </c>
      <c r="E7" s="23" t="inlineStr">
        <is>
          <t>Motor Pool</t>
        </is>
      </c>
      <c r="F7" s="23" t="inlineStr">
        <is>
          <t>1 file(s)</t>
        </is>
      </c>
      <c r="G7" s="24" t="inlineStr">
        <is>
          <t>CRITICAL - do not load blindly</t>
        </is>
      </c>
      <c r="H7" s="23" t="inlineStr">
        <is>
          <t>Number 240 was 'Motor Pool' in 2006. Verify the plan is this building before importing.</t>
        </is>
      </c>
    </row>
    <row r="8">
      <c r="A8" s="23" t="inlineStr">
        <is>
          <t>158</t>
        </is>
      </c>
      <c r="B8" s="23" t="inlineStr">
        <is>
          <t>Hahn Hall - North Wing</t>
        </is>
      </c>
      <c r="C8" s="23" t="inlineStr">
        <is>
          <t>RENAMED_OR_RENUMBERED - plan may be a DIFFERENT building</t>
        </is>
      </c>
      <c r="D8" s="23" t="inlineStr">
        <is>
          <t>yes</t>
        </is>
      </c>
      <c r="E8" s="23" t="inlineStr">
        <is>
          <t>Chemistry–Physics</t>
        </is>
      </c>
      <c r="F8" s="23" t="inlineStr">
        <is>
          <t>4 file(s)</t>
        </is>
      </c>
      <c r="G8" s="24" t="inlineStr">
        <is>
          <t>CRITICAL - do not load blindly</t>
        </is>
      </c>
      <c r="H8" s="23" t="inlineStr">
        <is>
          <t>Number 158 was 'Chemistry–Physics' in 2006. Verify the plan is this building before importing.</t>
        </is>
      </c>
    </row>
    <row r="9">
      <c r="A9" s="23" t="inlineStr">
        <is>
          <t>30</t>
        </is>
      </c>
      <c r="B9" s="23" t="inlineStr">
        <is>
          <t>Hoge Hall</t>
        </is>
      </c>
      <c r="C9" s="23" t="inlineStr">
        <is>
          <t>RENAMED_OR_RENUMBERED - plan may be a DIFFERENT building</t>
        </is>
      </c>
      <c r="D9" s="23" t="inlineStr">
        <is>
          <t>yes</t>
        </is>
      </c>
      <c r="E9" s="23" t="inlineStr">
        <is>
          <t>Lee Hall</t>
        </is>
      </c>
      <c r="F9" s="23" t="inlineStr">
        <is>
          <t>9 file(s)</t>
        </is>
      </c>
      <c r="G9" s="24" t="inlineStr">
        <is>
          <t>CRITICAL - do not load blindly</t>
        </is>
      </c>
      <c r="H9" s="23" t="inlineStr">
        <is>
          <t>Number 30 was 'Lee Hall' in 2006. Verify the plan is this building before importing.</t>
        </is>
      </c>
    </row>
    <row r="10">
      <c r="A10" s="23" t="inlineStr">
        <is>
          <t>204</t>
        </is>
      </c>
      <c r="B10" s="23" t="inlineStr">
        <is>
          <t>North Chiller Plant</t>
        </is>
      </c>
      <c r="C10" s="23" t="inlineStr">
        <is>
          <t>RENAMED_OR_RENUMBERED - plan may be a DIFFERENT building</t>
        </is>
      </c>
      <c r="D10" s="23" t="inlineStr">
        <is>
          <t>yes</t>
        </is>
      </c>
      <c r="E10" s="23" t="inlineStr">
        <is>
          <t>Air Conditioning Plant</t>
        </is>
      </c>
      <c r="F10" s="23" t="inlineStr">
        <is>
          <t>1 file(s)</t>
        </is>
      </c>
      <c r="G10" s="24" t="inlineStr">
        <is>
          <t>CRITICAL - do not load blindly</t>
        </is>
      </c>
      <c r="H10" s="23" t="inlineStr">
        <is>
          <t>Number 204 was 'Air Conditioning Plant' in 2006. Verify the plan is this building before importing.</t>
        </is>
      </c>
    </row>
    <row r="11">
      <c r="A11" s="23" t="inlineStr">
        <is>
          <t>194</t>
        </is>
      </c>
      <c r="B11" s="23" t="inlineStr">
        <is>
          <t>Smith Career Center</t>
        </is>
      </c>
      <c r="C11" s="23" t="inlineStr">
        <is>
          <t>RENAMED_OR_RENUMBERED - plan may be a DIFFERENT building</t>
        </is>
      </c>
      <c r="D11" s="23" t="inlineStr">
        <is>
          <t>yes</t>
        </is>
      </c>
      <c r="E11" s="23" t="inlineStr">
        <is>
          <t>Career Services Building</t>
        </is>
      </c>
      <c r="F11" s="23" t="inlineStr">
        <is>
          <t>2 file(s)</t>
        </is>
      </c>
      <c r="G11" s="24" t="inlineStr">
        <is>
          <t>CRITICAL - do not load blindly</t>
        </is>
      </c>
      <c r="H11" s="23" t="inlineStr">
        <is>
          <t>Number 194 was 'Career Services Building' in 2006. Verify the plan is this building before importing.</t>
        </is>
      </c>
    </row>
    <row r="12">
      <c r="A12" s="23" t="inlineStr">
        <is>
          <t>184</t>
        </is>
      </c>
      <c r="B12" s="23" t="inlineStr">
        <is>
          <t>Venture Out</t>
        </is>
      </c>
      <c r="C12" s="23" t="inlineStr">
        <is>
          <t>RENAMED_OR_RENUMBERED - plan may be a DIFFERENT building</t>
        </is>
      </c>
      <c r="D12" s="23" t="inlineStr">
        <is>
          <t>yes</t>
        </is>
      </c>
      <c r="E12" s="23" t="inlineStr">
        <is>
          <t>Recreation Area Storage Building</t>
        </is>
      </c>
      <c r="F12" s="23" t="inlineStr">
        <is>
          <t>1 file(s)</t>
        </is>
      </c>
      <c r="G12" s="24" t="inlineStr">
        <is>
          <t>CRITICAL - do not load blindly</t>
        </is>
      </c>
      <c r="H12" s="23" t="inlineStr">
        <is>
          <t>Number 184 was 'Recreation Area Storage Building' in 2006. Verify the plan is this building before importing.</t>
        </is>
      </c>
    </row>
    <row r="13">
      <c r="A13" s="23" t="inlineStr">
        <is>
          <t>149</t>
        </is>
      </c>
      <c r="B13" s="23" t="inlineStr">
        <is>
          <t>Virginia-Maryland College of Veterinary Medicine</t>
        </is>
      </c>
      <c r="C13" s="23" t="inlineStr">
        <is>
          <t>RENAMED_OR_RENUMBERED - plan may be a DIFFERENT building</t>
        </is>
      </c>
      <c r="D13" s="23" t="inlineStr">
        <is>
          <t>yes</t>
        </is>
      </c>
      <c r="E13" s="23" t="inlineStr">
        <is>
          <t>Vet Med Phase 3</t>
        </is>
      </c>
      <c r="F13" s="23" t="inlineStr">
        <is>
          <t>4 file(s)</t>
        </is>
      </c>
      <c r="G13" s="24" t="inlineStr">
        <is>
          <t>CRITICAL - do not load blindly</t>
        </is>
      </c>
      <c r="H13" s="23" t="inlineStr">
        <is>
          <t>Number 149 was 'Vet Med Phase 3' in 2006. Verify the plan is this building before importing.</t>
        </is>
      </c>
    </row>
    <row r="14">
      <c r="A14" s="23" t="inlineStr">
        <is>
          <t>26</t>
        </is>
      </c>
      <c r="B14" s="23" t="inlineStr">
        <is>
          <t>Whitehurst Hall</t>
        </is>
      </c>
      <c r="C14" s="23" t="inlineStr">
        <is>
          <t>RENAMED_OR_RENUMBERED - plan may be a DIFFERENT building</t>
        </is>
      </c>
      <c r="D14" s="23" t="inlineStr">
        <is>
          <t>yes</t>
        </is>
      </c>
      <c r="E14" s="23" t="inlineStr">
        <is>
          <t>Barringer Hall</t>
        </is>
      </c>
      <c r="F14" s="23" t="inlineStr">
        <is>
          <t>4 file(s)</t>
        </is>
      </c>
      <c r="G14" s="24" t="inlineStr">
        <is>
          <t>CRITICAL - do not load blindly</t>
        </is>
      </c>
      <c r="H14" s="23" t="inlineStr">
        <is>
          <t>Number 26 was 'Barringer Hall' in 2006. Verify the plan is this building before importing.</t>
        </is>
      </c>
    </row>
    <row r="15">
      <c r="A15" s="15" t="inlineStr">
        <is>
          <t>2140</t>
        </is>
      </c>
      <c r="B15" s="15" t="inlineStr">
        <is>
          <t>APEX Center for Entrepreneurs</t>
        </is>
      </c>
      <c r="C15" s="15" t="inlineStr">
        <is>
          <t>new_since_2006</t>
        </is>
      </c>
      <c r="D15" s="15" t="inlineStr">
        <is>
          <t>yes</t>
        </is>
      </c>
      <c r="E15" s="15" t="inlineStr">
        <is>
          <t>not listed</t>
        </is>
      </c>
      <c r="F15" s="15" t="inlineStr"/>
      <c r="G15" s="15" t="inlineStr">
        <is>
          <t>HIGH - on the 2025 campus map</t>
        </is>
      </c>
      <c r="H15" s="15" t="inlineStr">
        <is>
          <t>Built, renamed or renumbered after the 2006 archive.</t>
        </is>
      </c>
    </row>
    <row r="16">
      <c r="A16" s="15" t="inlineStr">
        <is>
          <t>33</t>
        </is>
      </c>
      <c r="B16" s="15" t="inlineStr">
        <is>
          <t>Ambler Johnston Hall - East Wing</t>
        </is>
      </c>
      <c r="C16" s="15" t="inlineStr">
        <is>
          <t>new_since_2006</t>
        </is>
      </c>
      <c r="D16" s="15" t="inlineStr">
        <is>
          <t>yes</t>
        </is>
      </c>
      <c r="E16" s="15" t="inlineStr">
        <is>
          <t>not listed</t>
        </is>
      </c>
      <c r="F16" s="15" t="inlineStr"/>
      <c r="G16" s="15" t="inlineStr">
        <is>
          <t>HIGH - on the 2025 campus map</t>
        </is>
      </c>
      <c r="H16" s="15" t="inlineStr">
        <is>
          <t>Built, renamed or renumbered after the 2006 archive.</t>
        </is>
      </c>
    </row>
    <row r="17">
      <c r="A17" s="15" t="inlineStr">
        <is>
          <t>173</t>
        </is>
      </c>
      <c r="B17" s="15" t="inlineStr">
        <is>
          <t>Bishop-Favrao Hall</t>
        </is>
      </c>
      <c r="C17" s="15" t="inlineStr">
        <is>
          <t>new_since_2006</t>
        </is>
      </c>
      <c r="D17" s="15" t="inlineStr">
        <is>
          <t>yes</t>
        </is>
      </c>
      <c r="E17" s="15" t="inlineStr">
        <is>
          <t>not listed</t>
        </is>
      </c>
      <c r="F17" s="15" t="inlineStr"/>
      <c r="G17" s="15" t="inlineStr">
        <is>
          <t>HIGH - on the 2025 campus map</t>
        </is>
      </c>
      <c r="H17" s="15" t="inlineStr">
        <is>
          <t>Built, renamed or renumbered after the 2006 archive.</t>
        </is>
      </c>
    </row>
    <row r="18">
      <c r="A18" s="15" t="inlineStr">
        <is>
          <t>159</t>
        </is>
      </c>
      <c r="B18" s="15" t="inlineStr">
        <is>
          <t>Classroom Building</t>
        </is>
      </c>
      <c r="C18" s="15" t="inlineStr">
        <is>
          <t>new_since_2006</t>
        </is>
      </c>
      <c r="D18" s="15" t="inlineStr">
        <is>
          <t>yes</t>
        </is>
      </c>
      <c r="E18" s="15" t="inlineStr">
        <is>
          <t>not listed</t>
        </is>
      </c>
      <c r="F18" s="15" t="inlineStr"/>
      <c r="G18" s="15" t="inlineStr">
        <is>
          <t>HIGH - on the 2025 campus map</t>
        </is>
      </c>
      <c r="H18" s="15" t="inlineStr">
        <is>
          <t>Built, renamed or renumbered after the 2006 archive.</t>
        </is>
      </c>
    </row>
    <row r="19">
      <c r="A19" s="15" t="inlineStr">
        <is>
          <t>0056</t>
        </is>
      </c>
      <c r="B19" s="15" t="inlineStr">
        <is>
          <t>Creativity and Innovation District (CID) / Living Learning Community</t>
        </is>
      </c>
      <c r="C19" s="15" t="inlineStr">
        <is>
          <t>new_since_2006</t>
        </is>
      </c>
      <c r="D19" s="15" t="inlineStr">
        <is>
          <t>yes</t>
        </is>
      </c>
      <c r="E19" s="15" t="inlineStr">
        <is>
          <t>not listed</t>
        </is>
      </c>
      <c r="F19" s="15" t="inlineStr"/>
      <c r="G19" s="15" t="inlineStr">
        <is>
          <t>HIGH - on the 2025 campus map</t>
        </is>
      </c>
      <c r="H19" s="15" t="inlineStr">
        <is>
          <t>Built, renamed or renumbered after the 2006 archive.</t>
        </is>
      </c>
    </row>
    <row r="20">
      <c r="A20" s="15" t="inlineStr">
        <is>
          <t>137</t>
        </is>
      </c>
      <c r="B20" s="15" t="inlineStr">
        <is>
          <t>Data and Decisions Sciences Building</t>
        </is>
      </c>
      <c r="C20" s="15" t="inlineStr">
        <is>
          <t>new_since_2006</t>
        </is>
      </c>
      <c r="D20" s="15" t="inlineStr">
        <is>
          <t>yes</t>
        </is>
      </c>
      <c r="E20" s="15" t="inlineStr">
        <is>
          <t>not listed</t>
        </is>
      </c>
      <c r="F20" s="15" t="inlineStr"/>
      <c r="G20" s="15" t="inlineStr">
        <is>
          <t>HIGH - on the 2025 campus map</t>
        </is>
      </c>
      <c r="H20" s="15" t="inlineStr">
        <is>
          <t>Built, renamed or renumbered after the 2006 archive.</t>
        </is>
      </c>
    </row>
    <row r="21">
      <c r="A21" s="15" t="inlineStr">
        <is>
          <t>D2</t>
        </is>
      </c>
      <c r="B21" s="15" t="inlineStr">
        <is>
          <t>Dietrick Hall</t>
        </is>
      </c>
      <c r="C21" s="15" t="inlineStr">
        <is>
          <t>new_since_2006</t>
        </is>
      </c>
      <c r="D21" s="15" t="inlineStr">
        <is>
          <t>yes</t>
        </is>
      </c>
      <c r="E21" s="15" t="inlineStr">
        <is>
          <t>not listed</t>
        </is>
      </c>
      <c r="F21" s="15" t="inlineStr"/>
      <c r="G21" s="15" t="inlineStr">
        <is>
          <t>HIGH - on the 2025 campus map</t>
        </is>
      </c>
      <c r="H21" s="15" t="inlineStr">
        <is>
          <t>Built, renamed or renumbered after the 2006 archive.</t>
        </is>
      </c>
    </row>
    <row r="22">
      <c r="A22" s="15" t="inlineStr">
        <is>
          <t>390</t>
        </is>
      </c>
      <c r="B22" s="15" t="inlineStr">
        <is>
          <t>Duck Pond Gazebo</t>
        </is>
      </c>
      <c r="C22" s="15" t="inlineStr">
        <is>
          <t>new_since_2006</t>
        </is>
      </c>
      <c r="D22" s="15" t="inlineStr">
        <is>
          <t>yes</t>
        </is>
      </c>
      <c r="E22" s="15" t="inlineStr">
        <is>
          <t>not listed</t>
        </is>
      </c>
      <c r="F22" s="15" t="inlineStr"/>
      <c r="G22" s="15" t="inlineStr">
        <is>
          <t>HIGH - on the 2025 campus map</t>
        </is>
      </c>
      <c r="H22" s="15" t="inlineStr">
        <is>
          <t>Built, renamed or renumbered after the 2006 archive.</t>
        </is>
      </c>
    </row>
    <row r="23">
      <c r="A23" s="15" t="inlineStr">
        <is>
          <t>185V</t>
        </is>
      </c>
      <c r="B23" s="15" t="inlineStr">
        <is>
          <t>English Field at Union Park</t>
        </is>
      </c>
      <c r="C23" s="15" t="inlineStr">
        <is>
          <t>new_since_2006</t>
        </is>
      </c>
      <c r="D23" s="15" t="inlineStr">
        <is>
          <t>yes</t>
        </is>
      </c>
      <c r="E23" s="15" t="inlineStr">
        <is>
          <t>not listed</t>
        </is>
      </c>
      <c r="F23" s="15" t="inlineStr"/>
      <c r="G23" s="15" t="inlineStr">
        <is>
          <t>HIGH - on the 2025 campus map</t>
        </is>
      </c>
      <c r="H23" s="15" t="inlineStr">
        <is>
          <t>Built, renamed or renumbered after the 2006 archive.</t>
        </is>
      </c>
    </row>
    <row r="24">
      <c r="A24" s="15" t="inlineStr">
        <is>
          <t>184C</t>
        </is>
      </c>
      <c r="B24" s="15" t="inlineStr">
        <is>
          <t>Field House</t>
        </is>
      </c>
      <c r="C24" s="15" t="inlineStr">
        <is>
          <t>new_since_2006</t>
        </is>
      </c>
      <c r="D24" s="15" t="inlineStr">
        <is>
          <t>yes</t>
        </is>
      </c>
      <c r="E24" s="15" t="inlineStr">
        <is>
          <t>not listed</t>
        </is>
      </c>
      <c r="F24" s="15" t="inlineStr"/>
      <c r="G24" s="15" t="inlineStr">
        <is>
          <t>HIGH - on the 2025 campus map</t>
        </is>
      </c>
      <c r="H24" s="15" t="inlineStr">
        <is>
          <t>Built, renamed or renumbered after the 2006 archive.</t>
        </is>
      </c>
    </row>
    <row r="25">
      <c r="A25" s="15" t="inlineStr">
        <is>
          <t>187B</t>
        </is>
      </c>
      <c r="B25" s="15" t="inlineStr">
        <is>
          <t>Football Locker Room</t>
        </is>
      </c>
      <c r="C25" s="15" t="inlineStr">
        <is>
          <t>new_since_2006</t>
        </is>
      </c>
      <c r="D25" s="15" t="inlineStr">
        <is>
          <t>yes</t>
        </is>
      </c>
      <c r="E25" s="15" t="inlineStr">
        <is>
          <t>not listed</t>
        </is>
      </c>
      <c r="F25" s="15" t="inlineStr"/>
      <c r="G25" s="15" t="inlineStr">
        <is>
          <t>HIGH - on the 2025 campus map</t>
        </is>
      </c>
      <c r="H25" s="15" t="inlineStr">
        <is>
          <t>Built, renamed or renumbered after the 2006 archive.</t>
        </is>
      </c>
    </row>
    <row r="26">
      <c r="A26" s="15" t="inlineStr">
        <is>
          <t>2317</t>
        </is>
      </c>
      <c r="B26" s="15" t="inlineStr">
        <is>
          <t>Gilbert Place</t>
        </is>
      </c>
      <c r="C26" s="15" t="inlineStr">
        <is>
          <t>new_since_2006</t>
        </is>
      </c>
      <c r="D26" s="15" t="inlineStr">
        <is>
          <t>yes</t>
        </is>
      </c>
      <c r="E26" s="15" t="inlineStr">
        <is>
          <t>not listed</t>
        </is>
      </c>
      <c r="F26" s="15" t="inlineStr"/>
      <c r="G26" s="15" t="inlineStr">
        <is>
          <t>HIGH - on the 2025 campus map</t>
        </is>
      </c>
      <c r="H26" s="15" t="inlineStr">
        <is>
          <t>Built, renamed or renumbered after the 2006 archive.</t>
        </is>
      </c>
    </row>
    <row r="27">
      <c r="A27" s="15" t="inlineStr">
        <is>
          <t>136</t>
        </is>
      </c>
      <c r="B27" s="15" t="inlineStr">
        <is>
          <t>Goodwin Hall</t>
        </is>
      </c>
      <c r="C27" s="15" t="inlineStr">
        <is>
          <t>new_since_2006</t>
        </is>
      </c>
      <c r="D27" s="15" t="inlineStr">
        <is>
          <t>yes</t>
        </is>
      </c>
      <c r="E27" s="15" t="inlineStr">
        <is>
          <t>not listed</t>
        </is>
      </c>
      <c r="F27" s="15" t="inlineStr"/>
      <c r="G27" s="15" t="inlineStr">
        <is>
          <t>HIGH - on the 2025 campus map</t>
        </is>
      </c>
      <c r="H27" s="15" t="inlineStr">
        <is>
          <t>Built, renamed or renumbered after the 2006 archive.</t>
        </is>
      </c>
    </row>
    <row r="28">
      <c r="A28" s="15" t="inlineStr">
        <is>
          <t>197</t>
        </is>
      </c>
      <c r="B28" s="15" t="inlineStr">
        <is>
          <t>Hahn-Hurst Basketball Practice Facility</t>
        </is>
      </c>
      <c r="C28" s="15" t="inlineStr">
        <is>
          <t>new_since_2006</t>
        </is>
      </c>
      <c r="D28" s="15" t="inlineStr">
        <is>
          <t>yes</t>
        </is>
      </c>
      <c r="E28" s="15" t="inlineStr">
        <is>
          <t>not listed</t>
        </is>
      </c>
      <c r="F28" s="15" t="inlineStr"/>
      <c r="G28" s="15" t="inlineStr">
        <is>
          <t>HIGH - on the 2025 campus map</t>
        </is>
      </c>
      <c r="H28" s="15" t="inlineStr">
        <is>
          <t>Built, renamed or renumbered after the 2006 archive.</t>
        </is>
      </c>
    </row>
    <row r="29">
      <c r="A29" s="15" t="inlineStr">
        <is>
          <t>168</t>
        </is>
      </c>
      <c r="B29" s="15" t="inlineStr">
        <is>
          <t>Hitt Hall</t>
        </is>
      </c>
      <c r="C29" s="15" t="inlineStr">
        <is>
          <t>new_since_2006</t>
        </is>
      </c>
      <c r="D29" s="15" t="inlineStr">
        <is>
          <t>yes</t>
        </is>
      </c>
      <c r="E29" s="15" t="inlineStr">
        <is>
          <t>not listed</t>
        </is>
      </c>
      <c r="F29" s="15" t="inlineStr"/>
      <c r="G29" s="15" t="inlineStr">
        <is>
          <t>HIGH - on the 2025 campus map</t>
        </is>
      </c>
      <c r="H29" s="15" t="inlineStr">
        <is>
          <t>Built, renamed or renumbered after the 2006 archive.</t>
        </is>
      </c>
    </row>
    <row r="30">
      <c r="A30" s="15" t="inlineStr">
        <is>
          <t>381</t>
        </is>
      </c>
      <c r="B30" s="15" t="inlineStr">
        <is>
          <t>Human and Agricultural Biosciences Bldg 1</t>
        </is>
      </c>
      <c r="C30" s="15" t="inlineStr">
        <is>
          <t>new_since_2006</t>
        </is>
      </c>
      <c r="D30" s="15" t="inlineStr">
        <is>
          <t>yes</t>
        </is>
      </c>
      <c r="E30" s="15" t="inlineStr">
        <is>
          <t>not listed</t>
        </is>
      </c>
      <c r="F30" s="15" t="inlineStr"/>
      <c r="G30" s="15" t="inlineStr">
        <is>
          <t>HIGH - on the 2025 campus map</t>
        </is>
      </c>
      <c r="H30" s="15" t="inlineStr">
        <is>
          <t>Built, renamed or renumbered after the 2006 archive.</t>
        </is>
      </c>
    </row>
    <row r="31">
      <c r="A31" s="15" t="inlineStr">
        <is>
          <t>116</t>
        </is>
      </c>
      <c r="B31" s="15" t="inlineStr">
        <is>
          <t>ICTAS II</t>
        </is>
      </c>
      <c r="C31" s="15" t="inlineStr">
        <is>
          <t>new_since_2006</t>
        </is>
      </c>
      <c r="D31" s="15" t="inlineStr">
        <is>
          <t>yes</t>
        </is>
      </c>
      <c r="E31" s="15" t="inlineStr">
        <is>
          <t>not listed</t>
        </is>
      </c>
      <c r="F31" s="15" t="inlineStr"/>
      <c r="G31" s="15" t="inlineStr">
        <is>
          <t>HIGH - on the 2025 campus map</t>
        </is>
      </c>
      <c r="H31" s="15" t="inlineStr">
        <is>
          <t>Built, renamed or renumbered after the 2006 archive.</t>
        </is>
      </c>
    </row>
    <row r="32">
      <c r="A32" s="15" t="inlineStr">
        <is>
          <t>186A</t>
        </is>
      </c>
      <c r="B32" s="15" t="inlineStr">
        <is>
          <t>Indoor Practice Facility</t>
        </is>
      </c>
      <c r="C32" s="15" t="inlineStr">
        <is>
          <t>new_since_2006</t>
        </is>
      </c>
      <c r="D32" s="15" t="inlineStr">
        <is>
          <t>yes</t>
        </is>
      </c>
      <c r="E32" s="15" t="inlineStr">
        <is>
          <t>not listed</t>
        </is>
      </c>
      <c r="F32" s="15" t="inlineStr"/>
      <c r="G32" s="15" t="inlineStr">
        <is>
          <t>HIGH - on the 2025 campus map</t>
        </is>
      </c>
      <c r="H32" s="15" t="inlineStr">
        <is>
          <t>Built, renamed or renumbered after the 2006 archive.</t>
        </is>
      </c>
    </row>
    <row r="33">
      <c r="A33" s="15" t="inlineStr">
        <is>
          <t>187C</t>
        </is>
      </c>
      <c r="B33" s="15" t="inlineStr">
        <is>
          <t>Jamerson Athletic Center</t>
        </is>
      </c>
      <c r="C33" s="15" t="inlineStr">
        <is>
          <t>new_since_2006</t>
        </is>
      </c>
      <c r="D33" s="15" t="inlineStr">
        <is>
          <t>yes</t>
        </is>
      </c>
      <c r="E33" s="15" t="inlineStr">
        <is>
          <t>not listed</t>
        </is>
      </c>
      <c r="F33" s="15" t="inlineStr"/>
      <c r="G33" s="15" t="inlineStr">
        <is>
          <t>HIGH - on the 2025 campus map</t>
        </is>
      </c>
      <c r="H33" s="15" t="inlineStr">
        <is>
          <t>Built, renamed or renumbered after the 2006 archive.</t>
        </is>
      </c>
    </row>
    <row r="34">
      <c r="A34" s="15" t="inlineStr">
        <is>
          <t>200</t>
        </is>
      </c>
      <c r="B34" s="15" t="inlineStr">
        <is>
          <t>Lavery Hall</t>
        </is>
      </c>
      <c r="C34" s="15" t="inlineStr">
        <is>
          <t>new_since_2006</t>
        </is>
      </c>
      <c r="D34" s="15" t="inlineStr">
        <is>
          <t>yes</t>
        </is>
      </c>
      <c r="E34" s="15" t="inlineStr">
        <is>
          <t>not listed</t>
        </is>
      </c>
      <c r="F34" s="15" t="inlineStr"/>
      <c r="G34" s="15" t="inlineStr">
        <is>
          <t>HIGH - on the 2025 campus map</t>
        </is>
      </c>
      <c r="H34" s="15" t="inlineStr">
        <is>
          <t>Built, renamed or renumbered after the 2006 archive.</t>
        </is>
      </c>
    </row>
    <row r="35">
      <c r="A35" s="15" t="inlineStr">
        <is>
          <t>121</t>
        </is>
      </c>
      <c r="B35" s="15" t="inlineStr">
        <is>
          <t>Life Sciences I Facility</t>
        </is>
      </c>
      <c r="C35" s="15" t="inlineStr">
        <is>
          <t>new_since_2006</t>
        </is>
      </c>
      <c r="D35" s="15" t="inlineStr">
        <is>
          <t>yes</t>
        </is>
      </c>
      <c r="E35" s="15" t="inlineStr">
        <is>
          <t>not listed</t>
        </is>
      </c>
      <c r="F35" s="15" t="inlineStr"/>
      <c r="G35" s="15" t="inlineStr">
        <is>
          <t>HIGH - on the 2025 campus map</t>
        </is>
      </c>
      <c r="H35" s="15" t="inlineStr">
        <is>
          <t>Built, renamed or renumbered after the 2006 archive.</t>
        </is>
      </c>
    </row>
    <row r="36">
      <c r="A36" s="15" t="inlineStr">
        <is>
          <t>55</t>
        </is>
      </c>
      <c r="B36" s="15" t="inlineStr">
        <is>
          <t>New Hall West</t>
        </is>
      </c>
      <c r="C36" s="15" t="inlineStr">
        <is>
          <t>new_since_2006</t>
        </is>
      </c>
      <c r="D36" s="15" t="inlineStr">
        <is>
          <t>yes</t>
        </is>
      </c>
      <c r="E36" s="15" t="inlineStr">
        <is>
          <t>not listed</t>
        </is>
      </c>
      <c r="F36" s="15" t="inlineStr"/>
      <c r="G36" s="15" t="inlineStr">
        <is>
          <t>HIGH - on the 2025 campus map</t>
        </is>
      </c>
      <c r="H36" s="15" t="inlineStr">
        <is>
          <t>Built, renamed or renumbered after the 2006 archive.</t>
        </is>
      </c>
    </row>
    <row r="37">
      <c r="A37" s="15" t="inlineStr">
        <is>
          <t>618A</t>
        </is>
      </c>
      <c r="B37" s="15" t="inlineStr">
        <is>
          <t>North End Center</t>
        </is>
      </c>
      <c r="C37" s="15" t="inlineStr">
        <is>
          <t>new_since_2006</t>
        </is>
      </c>
      <c r="D37" s="15" t="inlineStr">
        <is>
          <t>yes</t>
        </is>
      </c>
      <c r="E37" s="15" t="inlineStr">
        <is>
          <t>not listed</t>
        </is>
      </c>
      <c r="F37" s="15" t="inlineStr"/>
      <c r="G37" s="15" t="inlineStr">
        <is>
          <t>HIGH - on the 2025 campus map</t>
        </is>
      </c>
      <c r="H37" s="15" t="inlineStr">
        <is>
          <t>Built, renamed or renumbered after the 2006 archive.</t>
        </is>
      </c>
    </row>
    <row r="38">
      <c r="A38" s="15" t="inlineStr">
        <is>
          <t>D3</t>
        </is>
      </c>
      <c r="B38" s="15" t="inlineStr">
        <is>
          <t>Owens Hall</t>
        </is>
      </c>
      <c r="C38" s="15" t="inlineStr">
        <is>
          <t>new_since_2006</t>
        </is>
      </c>
      <c r="D38" s="15" t="inlineStr">
        <is>
          <t>yes</t>
        </is>
      </c>
      <c r="E38" s="15" t="inlineStr">
        <is>
          <t>not listed</t>
        </is>
      </c>
      <c r="F38" s="15" t="inlineStr"/>
      <c r="G38" s="15" t="inlineStr">
        <is>
          <t>HIGH - on the 2025 campus map</t>
        </is>
      </c>
      <c r="H38" s="15" t="inlineStr">
        <is>
          <t>Built, renamed or renumbered after the 2006 archive.</t>
        </is>
      </c>
    </row>
    <row r="39">
      <c r="A39" s="15" t="inlineStr">
        <is>
          <t>2</t>
        </is>
      </c>
      <c r="B39" s="15" t="inlineStr">
        <is>
          <t>Pearson Hall East</t>
        </is>
      </c>
      <c r="C39" s="15" t="inlineStr">
        <is>
          <t>new_since_2006</t>
        </is>
      </c>
      <c r="D39" s="15" t="inlineStr">
        <is>
          <t>yes</t>
        </is>
      </c>
      <c r="E39" s="15" t="inlineStr">
        <is>
          <t>not listed</t>
        </is>
      </c>
      <c r="F39" s="15" t="inlineStr"/>
      <c r="G39" s="15" t="inlineStr">
        <is>
          <t>HIGH - on the 2025 campus map</t>
        </is>
      </c>
      <c r="H39" s="15" t="inlineStr">
        <is>
          <t>Built, renamed or renumbered after the 2006 archive.</t>
        </is>
      </c>
    </row>
    <row r="40">
      <c r="A40" s="15" t="inlineStr">
        <is>
          <t>3</t>
        </is>
      </c>
      <c r="B40" s="15" t="inlineStr">
        <is>
          <t>Pearson Hall West</t>
        </is>
      </c>
      <c r="C40" s="15" t="inlineStr">
        <is>
          <t>new_since_2006</t>
        </is>
      </c>
      <c r="D40" s="15" t="inlineStr">
        <is>
          <t>yes</t>
        </is>
      </c>
      <c r="E40" s="15" t="inlineStr">
        <is>
          <t>not listed</t>
        </is>
      </c>
      <c r="F40" s="15" t="inlineStr"/>
      <c r="G40" s="15" t="inlineStr">
        <is>
          <t>HIGH - on the 2025 campus map</t>
        </is>
      </c>
      <c r="H40" s="15" t="inlineStr">
        <is>
          <t>Built, renamed or renumbered after the 2006 archive.</t>
        </is>
      </c>
    </row>
    <row r="41">
      <c r="A41" s="15" t="inlineStr">
        <is>
          <t>563</t>
        </is>
      </c>
      <c r="B41" s="15" t="inlineStr">
        <is>
          <t>Pole Barn</t>
        </is>
      </c>
      <c r="C41" s="15" t="inlineStr">
        <is>
          <t>new_since_2006</t>
        </is>
      </c>
      <c r="D41" s="15" t="inlineStr">
        <is>
          <t>yes</t>
        </is>
      </c>
      <c r="E41" s="15" t="inlineStr">
        <is>
          <t>not listed</t>
        </is>
      </c>
      <c r="F41" s="15" t="inlineStr"/>
      <c r="G41" s="15" t="inlineStr">
        <is>
          <t>HIGH - on the 2025 campus map</t>
        </is>
      </c>
      <c r="H41" s="15" t="inlineStr">
        <is>
          <t>Built, renamed or renumbered after the 2006 archive.</t>
        </is>
      </c>
    </row>
    <row r="42">
      <c r="A42" s="15" t="inlineStr">
        <is>
          <t>78</t>
        </is>
      </c>
      <c r="B42" s="15" t="inlineStr">
        <is>
          <t>Sigma Phi Epsilon House</t>
        </is>
      </c>
      <c r="C42" s="15" t="inlineStr">
        <is>
          <t>new_since_2006</t>
        </is>
      </c>
      <c r="D42" s="15" t="inlineStr">
        <is>
          <t>yes</t>
        </is>
      </c>
      <c r="E42" s="15" t="inlineStr">
        <is>
          <t>not listed</t>
        </is>
      </c>
      <c r="F42" s="15" t="inlineStr"/>
      <c r="G42" s="15" t="inlineStr">
        <is>
          <t>HIGH - on the 2025 campus map</t>
        </is>
      </c>
      <c r="H42" s="15" t="inlineStr">
        <is>
          <t>Built, renamed or renumbered after the 2006 archive.</t>
        </is>
      </c>
    </row>
    <row r="43">
      <c r="A43" s="15" t="inlineStr">
        <is>
          <t>400</t>
        </is>
      </c>
      <c r="B43" s="15" t="inlineStr">
        <is>
          <t>Smithfield Manor House</t>
        </is>
      </c>
      <c r="C43" s="15" t="inlineStr">
        <is>
          <t>new_since_2006</t>
        </is>
      </c>
      <c r="D43" s="15" t="inlineStr">
        <is>
          <t>yes</t>
        </is>
      </c>
      <c r="E43" s="15" t="inlineStr">
        <is>
          <t>not listed</t>
        </is>
      </c>
      <c r="F43" s="15" t="inlineStr"/>
      <c r="G43" s="15" t="inlineStr">
        <is>
          <t>HIGH - on the 2025 campus map</t>
        </is>
      </c>
      <c r="H43" s="15" t="inlineStr">
        <is>
          <t>Built, renamed or renumbered after the 2006 archive.</t>
        </is>
      </c>
    </row>
    <row r="44">
      <c r="A44" s="15" t="inlineStr">
        <is>
          <t>380</t>
        </is>
      </c>
      <c r="B44" s="15" t="inlineStr">
        <is>
          <t>Southwest Chiller Plant</t>
        </is>
      </c>
      <c r="C44" s="15" t="inlineStr">
        <is>
          <t>new_since_2006</t>
        </is>
      </c>
      <c r="D44" s="15" t="inlineStr">
        <is>
          <t>yes</t>
        </is>
      </c>
      <c r="E44" s="15" t="inlineStr">
        <is>
          <t>not listed</t>
        </is>
      </c>
      <c r="F44" s="15" t="inlineStr"/>
      <c r="G44" s="15" t="inlineStr">
        <is>
          <t>HIGH - on the 2025 campus map</t>
        </is>
      </c>
      <c r="H44" s="15" t="inlineStr">
        <is>
          <t>Built, renamed or renumbered after the 2006 archive.</t>
        </is>
      </c>
    </row>
    <row r="45">
      <c r="A45" s="15" t="inlineStr">
        <is>
          <t>D4</t>
        </is>
      </c>
      <c r="B45" s="15" t="inlineStr">
        <is>
          <t>Squires Food Court</t>
        </is>
      </c>
      <c r="C45" s="15" t="inlineStr">
        <is>
          <t>new_since_2006</t>
        </is>
      </c>
      <c r="D45" s="15" t="inlineStr">
        <is>
          <t>yes</t>
        </is>
      </c>
      <c r="E45" s="15" t="inlineStr">
        <is>
          <t>not listed</t>
        </is>
      </c>
      <c r="F45" s="15" t="inlineStr"/>
      <c r="G45" s="15" t="inlineStr">
        <is>
          <t>HIGH - on the 2025 campus map</t>
        </is>
      </c>
      <c r="H45" s="15" t="inlineStr">
        <is>
          <t>Built, renamed or renumbered after the 2006 archive.</t>
        </is>
      </c>
    </row>
    <row r="46">
      <c r="A46" s="15" t="inlineStr">
        <is>
          <t>119-120</t>
        </is>
      </c>
      <c r="B46" s="15" t="inlineStr">
        <is>
          <t>Steger Hall</t>
        </is>
      </c>
      <c r="C46" s="15" t="inlineStr">
        <is>
          <t>new_since_2006</t>
        </is>
      </c>
      <c r="D46" s="15" t="inlineStr">
        <is>
          <t>yes</t>
        </is>
      </c>
      <c r="E46" s="15" t="inlineStr">
        <is>
          <t>not listed</t>
        </is>
      </c>
      <c r="F46" s="15" t="inlineStr"/>
      <c r="G46" s="15" t="inlineStr">
        <is>
          <t>HIGH - on the 2025 campus map</t>
        </is>
      </c>
      <c r="H46" s="15" t="inlineStr">
        <is>
          <t>Built, renamed or renumbered after the 2006 archive.</t>
        </is>
      </c>
    </row>
    <row r="47">
      <c r="A47" s="15" t="inlineStr">
        <is>
          <t>170</t>
        </is>
      </c>
      <c r="B47" s="15" t="inlineStr">
        <is>
          <t>Surge Space Building</t>
        </is>
      </c>
      <c r="C47" s="15" t="inlineStr">
        <is>
          <t>new_since_2006</t>
        </is>
      </c>
      <c r="D47" s="15" t="inlineStr">
        <is>
          <t>yes</t>
        </is>
      </c>
      <c r="E47" s="15" t="inlineStr">
        <is>
          <t>not listed</t>
        </is>
      </c>
      <c r="F47" s="15" t="inlineStr"/>
      <c r="G47" s="15" t="inlineStr">
        <is>
          <t>HIGH - on the 2025 campus map</t>
        </is>
      </c>
      <c r="H47" s="15" t="inlineStr">
        <is>
          <t>Built, renamed or renumbered after the 2006 archive.</t>
        </is>
      </c>
    </row>
    <row r="48">
      <c r="A48" s="15" t="inlineStr">
        <is>
          <t>169</t>
        </is>
      </c>
      <c r="B48" s="15" t="inlineStr">
        <is>
          <t>Theatre 101</t>
        </is>
      </c>
      <c r="C48" s="15" t="inlineStr">
        <is>
          <t>new_since_2006</t>
        </is>
      </c>
      <c r="D48" s="15" t="inlineStr">
        <is>
          <t>yes</t>
        </is>
      </c>
      <c r="E48" s="15" t="inlineStr">
        <is>
          <t>not listed</t>
        </is>
      </c>
      <c r="F48" s="15" t="inlineStr"/>
      <c r="G48" s="15" t="inlineStr">
        <is>
          <t>HIGH - on the 2025 campus map</t>
        </is>
      </c>
      <c r="H48" s="15" t="inlineStr">
        <is>
          <t>Built, renamed or renumbered after the 2006 archive.</t>
        </is>
      </c>
    </row>
    <row r="49">
      <c r="A49" s="15" t="inlineStr">
        <is>
          <t>1500</t>
        </is>
      </c>
      <c r="B49" s="15" t="inlineStr">
        <is>
          <t>Transit Center</t>
        </is>
      </c>
      <c r="C49" s="15" t="inlineStr">
        <is>
          <t>new_since_2006</t>
        </is>
      </c>
      <c r="D49" s="15" t="inlineStr">
        <is>
          <t>yes</t>
        </is>
      </c>
      <c r="E49" s="15" t="inlineStr">
        <is>
          <t>not listed</t>
        </is>
      </c>
      <c r="F49" s="15" t="inlineStr"/>
      <c r="G49" s="15" t="inlineStr">
        <is>
          <t>HIGH - on the 2025 campus map</t>
        </is>
      </c>
      <c r="H49" s="15" t="inlineStr">
        <is>
          <t>Built, renamed or renumbered after the 2006 archive.</t>
        </is>
      </c>
    </row>
    <row r="50">
      <c r="A50" s="15" t="inlineStr">
        <is>
          <t>D5</t>
        </is>
      </c>
      <c r="B50" s="15" t="inlineStr">
        <is>
          <t>Turner Place</t>
        </is>
      </c>
      <c r="C50" s="15" t="inlineStr">
        <is>
          <t>new_since_2006</t>
        </is>
      </c>
      <c r="D50" s="15" t="inlineStr">
        <is>
          <t>yes</t>
        </is>
      </c>
      <c r="E50" s="15" t="inlineStr">
        <is>
          <t>not listed</t>
        </is>
      </c>
      <c r="F50" s="15" t="inlineStr"/>
      <c r="G50" s="15" t="inlineStr">
        <is>
          <t>HIGH - on the 2025 campus map</t>
        </is>
      </c>
      <c r="H50" s="15" t="inlineStr">
        <is>
          <t>Built, renamed or renumbered after the 2006 archive.</t>
        </is>
      </c>
    </row>
    <row r="51">
      <c r="A51" s="15" t="inlineStr">
        <is>
          <t>270K</t>
        </is>
      </c>
      <c r="B51" s="15" t="inlineStr">
        <is>
          <t>UAV / Hyperloop Classroom-Office</t>
        </is>
      </c>
      <c r="C51" s="15" t="inlineStr">
        <is>
          <t>new_since_2006</t>
        </is>
      </c>
      <c r="D51" s="15" t="inlineStr">
        <is>
          <t>yes</t>
        </is>
      </c>
      <c r="E51" s="15" t="inlineStr">
        <is>
          <t>not listed</t>
        </is>
      </c>
      <c r="F51" s="15" t="inlineStr"/>
      <c r="G51" s="15" t="inlineStr">
        <is>
          <t>HIGH - on the 2025 campus map</t>
        </is>
      </c>
      <c r="H51" s="15" t="inlineStr">
        <is>
          <t>Built, renamed or renumbered after the 2006 archive.</t>
        </is>
      </c>
    </row>
    <row r="52">
      <c r="A52" s="15" t="inlineStr">
        <is>
          <t>138</t>
        </is>
      </c>
      <c r="B52" s="15" t="inlineStr">
        <is>
          <t>Undergraduate Science Laboratory Building</t>
        </is>
      </c>
      <c r="C52" s="15" t="inlineStr">
        <is>
          <t>new_since_2006</t>
        </is>
      </c>
      <c r="D52" s="15" t="inlineStr">
        <is>
          <t>yes</t>
        </is>
      </c>
      <c r="E52" s="15" t="inlineStr">
        <is>
          <t>not listed</t>
        </is>
      </c>
      <c r="F52" s="15" t="inlineStr"/>
      <c r="G52" s="15" t="inlineStr">
        <is>
          <t>HIGH - on the 2025 campus map</t>
        </is>
      </c>
      <c r="H52" s="15" t="inlineStr">
        <is>
          <t>Built, renamed or renumbered after the 2006 archive.</t>
        </is>
      </c>
    </row>
    <row r="53">
      <c r="A53" s="15" t="inlineStr">
        <is>
          <t>619</t>
        </is>
      </c>
      <c r="B53" s="15" t="inlineStr">
        <is>
          <t>University Gateway Center</t>
        </is>
      </c>
      <c r="C53" s="15" t="inlineStr">
        <is>
          <t>new_since_2006</t>
        </is>
      </c>
      <c r="D53" s="15" t="inlineStr">
        <is>
          <t>yes</t>
        </is>
      </c>
      <c r="E53" s="15" t="inlineStr">
        <is>
          <t>not listed</t>
        </is>
      </c>
      <c r="F53" s="15" t="inlineStr"/>
      <c r="G53" s="15" t="inlineStr">
        <is>
          <t>HIGH - on the 2025 campus map</t>
        </is>
      </c>
      <c r="H53" s="15" t="inlineStr">
        <is>
          <t>Built, renamed or renumbered after the 2006 archive.</t>
        </is>
      </c>
    </row>
    <row r="54">
      <c r="A54" s="15" t="inlineStr">
        <is>
          <t>14</t>
        </is>
      </c>
      <c r="B54" s="15" t="inlineStr">
        <is>
          <t>Upper Quad Hall North</t>
        </is>
      </c>
      <c r="C54" s="15" t="inlineStr">
        <is>
          <t>new_since_2006</t>
        </is>
      </c>
      <c r="D54" s="15" t="inlineStr">
        <is>
          <t>yes</t>
        </is>
      </c>
      <c r="E54" s="15" t="inlineStr">
        <is>
          <t>not listed</t>
        </is>
      </c>
      <c r="F54" s="15" t="inlineStr"/>
      <c r="G54" s="15" t="inlineStr">
        <is>
          <t>HIGH - on the 2025 campus map</t>
        </is>
      </c>
      <c r="H54" s="15" t="inlineStr">
        <is>
          <t>Built, renamed or renumbered after the 2006 archive.</t>
        </is>
      </c>
    </row>
    <row r="55">
      <c r="A55" s="15" t="inlineStr">
        <is>
          <t>249</t>
        </is>
      </c>
      <c r="B55" s="15" t="inlineStr">
        <is>
          <t>Visitor &amp; Undergraduate Admissions Center</t>
        </is>
      </c>
      <c r="C55" s="15" t="inlineStr">
        <is>
          <t>new_since_2006</t>
        </is>
      </c>
      <c r="D55" s="15" t="inlineStr">
        <is>
          <t>yes</t>
        </is>
      </c>
      <c r="E55" s="15" t="inlineStr">
        <is>
          <t>not listed</t>
        </is>
      </c>
      <c r="F55" s="15" t="inlineStr"/>
      <c r="G55" s="15" t="inlineStr">
        <is>
          <t>HIGH - on the 2025 campus map</t>
        </is>
      </c>
      <c r="H55" s="15" t="inlineStr">
        <is>
          <t>Built, renamed or renumbered after the 2006 archive.</t>
        </is>
      </c>
    </row>
    <row r="56">
      <c r="A56" s="15" t="inlineStr">
        <is>
          <t>2191</t>
        </is>
      </c>
      <c r="B56" s="15" t="inlineStr">
        <is>
          <t>Volume Two Bookstore</t>
        </is>
      </c>
      <c r="C56" s="15" t="inlineStr">
        <is>
          <t>new_since_2006</t>
        </is>
      </c>
      <c r="D56" s="15" t="inlineStr">
        <is>
          <t>yes</t>
        </is>
      </c>
      <c r="E56" s="15" t="inlineStr">
        <is>
          <t>not listed</t>
        </is>
      </c>
      <c r="F56" s="15" t="inlineStr"/>
      <c r="G56" s="15" t="inlineStr">
        <is>
          <t>HIGH - on the 2025 campus map</t>
        </is>
      </c>
      <c r="H56" s="15" t="inlineStr">
        <is>
          <t>Built, renamed or renumbered after the 2006 archive.</t>
        </is>
      </c>
    </row>
    <row r="57">
      <c r="A57" s="15" t="inlineStr">
        <is>
          <t>185M</t>
        </is>
      </c>
      <c r="B57" s="15" t="inlineStr">
        <is>
          <t>Weaver Baseball Center</t>
        </is>
      </c>
      <c r="C57" s="15" t="inlineStr">
        <is>
          <t>new_since_2006</t>
        </is>
      </c>
      <c r="D57" s="15" t="inlineStr">
        <is>
          <t>yes</t>
        </is>
      </c>
      <c r="E57" s="15" t="inlineStr">
        <is>
          <t>not listed</t>
        </is>
      </c>
      <c r="F57" s="15" t="inlineStr"/>
      <c r="G57" s="15" t="inlineStr">
        <is>
          <t>HIGH - on the 2025 campus map</t>
        </is>
      </c>
      <c r="H57" s="15" t="inlineStr">
        <is>
          <t>Built, renamed or renumbered after the 2006 archive.</t>
        </is>
      </c>
    </row>
    <row r="58">
      <c r="A58" s="15" t="inlineStr">
        <is>
          <t>D1</t>
        </is>
      </c>
      <c r="B58" s="15" t="inlineStr">
        <is>
          <t>West End Market</t>
        </is>
      </c>
      <c r="C58" s="15" t="inlineStr">
        <is>
          <t>new_since_2006</t>
        </is>
      </c>
      <c r="D58" s="15" t="inlineStr">
        <is>
          <t>yes</t>
        </is>
      </c>
      <c r="E58" s="15" t="inlineStr">
        <is>
          <t>not listed</t>
        </is>
      </c>
      <c r="F58" s="15" t="inlineStr"/>
      <c r="G58" s="15" t="inlineStr">
        <is>
          <t>HIGH - on the 2025 campus map</t>
        </is>
      </c>
      <c r="H58" s="15" t="inlineStr">
        <is>
          <t>Built, renamed or renumbered after the 2006 archive.</t>
        </is>
      </c>
    </row>
    <row r="59">
      <c r="A59" s="15" t="inlineStr">
        <is>
          <t>185E</t>
        </is>
      </c>
      <c r="B59" s="15" t="inlineStr">
        <is>
          <t>Women's Softball Field</t>
        </is>
      </c>
      <c r="C59" s="15" t="inlineStr">
        <is>
          <t>new_since_2006</t>
        </is>
      </c>
      <c r="D59" s="15" t="inlineStr">
        <is>
          <t>yes</t>
        </is>
      </c>
      <c r="E59" s="15" t="inlineStr">
        <is>
          <t>not listed</t>
        </is>
      </c>
      <c r="F59" s="15" t="inlineStr"/>
      <c r="G59" s="15" t="inlineStr">
        <is>
          <t>HIGH - on the 2025 campus map</t>
        </is>
      </c>
      <c r="H59" s="15" t="inlineStr">
        <is>
          <t>Built, renamed or renumbered after the 2006 archive.</t>
        </is>
      </c>
    </row>
    <row r="60">
      <c r="A60" s="15" t="inlineStr">
        <is>
          <t>550</t>
        </is>
      </c>
      <c r="B60" s="15" t="inlineStr">
        <is>
          <t>Animal Husbandry Barn</t>
        </is>
      </c>
      <c r="C60" s="15" t="inlineStr">
        <is>
          <t>listed_2006_but_no_plan_file</t>
        </is>
      </c>
      <c r="D60" s="15" t="inlineStr">
        <is>
          <t>yes</t>
        </is>
      </c>
      <c r="E60" s="15" t="inlineStr">
        <is>
          <t>Animal Husbandry Barn</t>
        </is>
      </c>
      <c r="F60" s="15" t="inlineStr"/>
      <c r="G60" s="15" t="inlineStr">
        <is>
          <t>HIGH - on the 2025 campus map</t>
        </is>
      </c>
      <c r="H60" s="15" t="inlineStr">
        <is>
          <t>In the 2006 index, but no plan was ever mirrored.</t>
        </is>
      </c>
    </row>
    <row r="61">
      <c r="A61" s="15" t="inlineStr">
        <is>
          <t>155</t>
        </is>
      </c>
      <c r="B61" s="15" t="inlineStr">
        <is>
          <t>Derring Hall</t>
        </is>
      </c>
      <c r="C61" s="15" t="inlineStr">
        <is>
          <t>listed_2006_but_no_plan_file</t>
        </is>
      </c>
      <c r="D61" s="15" t="inlineStr">
        <is>
          <t>yes</t>
        </is>
      </c>
      <c r="E61" s="15" t="inlineStr">
        <is>
          <t>Derring Hall</t>
        </is>
      </c>
      <c r="F61" s="15" t="inlineStr"/>
      <c r="G61" s="15" t="inlineStr">
        <is>
          <t>HIGH - on the 2025 campus map</t>
        </is>
      </c>
      <c r="H61" s="15" t="inlineStr">
        <is>
          <t>In the 2006 index, but no plan was ever mirrored.</t>
        </is>
      </c>
    </row>
    <row r="62">
      <c r="A62" s="15" t="inlineStr">
        <is>
          <t>251</t>
        </is>
      </c>
      <c r="B62" s="15" t="inlineStr">
        <is>
          <t>Graduate Life Center at Donaldson Brown</t>
        </is>
      </c>
      <c r="C62" s="15" t="inlineStr">
        <is>
          <t>listed_2006_but_no_plan_file</t>
        </is>
      </c>
      <c r="D62" s="15" t="inlineStr">
        <is>
          <t>yes</t>
        </is>
      </c>
      <c r="E62" s="15" t="inlineStr">
        <is>
          <t>Donaldson Brown, Graduate Life Center at / Graduate Life Center at Donaldson Brown</t>
        </is>
      </c>
      <c r="F62" s="15" t="inlineStr"/>
      <c r="G62" s="15" t="inlineStr">
        <is>
          <t>HIGH - on the 2025 campus map</t>
        </is>
      </c>
      <c r="H62" s="15" t="inlineStr">
        <is>
          <t>In the 2006 index, but no plan was ever mirrored.</t>
        </is>
      </c>
    </row>
    <row r="63">
      <c r="A63" s="15" t="inlineStr">
        <is>
          <t>130</t>
        </is>
      </c>
      <c r="B63" s="15" t="inlineStr">
        <is>
          <t>Holden Hall</t>
        </is>
      </c>
      <c r="C63" s="15" t="inlineStr">
        <is>
          <t>listed_2006_but_no_plan_file</t>
        </is>
      </c>
      <c r="D63" s="15" t="inlineStr">
        <is>
          <t>yes</t>
        </is>
      </c>
      <c r="E63" s="15" t="inlineStr">
        <is>
          <t>Holden Hall</t>
        </is>
      </c>
      <c r="F63" s="15" t="inlineStr"/>
      <c r="G63" s="15" t="inlineStr">
        <is>
          <t>HIGH - on the 2025 campus map</t>
        </is>
      </c>
      <c r="H63" s="15" t="inlineStr">
        <is>
          <t>In the 2006 index, but no plan was ever mirrored.</t>
        </is>
      </c>
    </row>
    <row r="64">
      <c r="A64" s="15" t="inlineStr">
        <is>
          <t>250A</t>
        </is>
      </c>
      <c r="B64" s="15" t="inlineStr">
        <is>
          <t>Holtzman Alumni Center</t>
        </is>
      </c>
      <c r="C64" s="15" t="inlineStr">
        <is>
          <t>listed_2006_but_no_plan_file</t>
        </is>
      </c>
      <c r="D64" s="15" t="inlineStr">
        <is>
          <t>yes</t>
        </is>
      </c>
      <c r="E64" s="15" t="inlineStr">
        <is>
          <t>Holtzman Alumni Center</t>
        </is>
      </c>
      <c r="F64" s="15" t="inlineStr"/>
      <c r="G64" s="15" t="inlineStr">
        <is>
          <t>HIGH - on the 2025 campus map</t>
        </is>
      </c>
      <c r="H64" s="15" t="inlineStr">
        <is>
          <t>In the 2006 index, but no plan was ever mirrored.</t>
        </is>
      </c>
    </row>
    <row r="65">
      <c r="A65" s="15" t="inlineStr">
        <is>
          <t>129</t>
        </is>
      </c>
      <c r="B65" s="15" t="inlineStr">
        <is>
          <t>Kelly Hall</t>
        </is>
      </c>
      <c r="C65" s="15" t="inlineStr">
        <is>
          <t>listed_2006_but_no_plan_file</t>
        </is>
      </c>
      <c r="D65" s="15" t="inlineStr">
        <is>
          <t>yes</t>
        </is>
      </c>
      <c r="E65" s="15" t="inlineStr">
        <is>
          <t>Institute for Critical Technologies &amp; Applied Science</t>
        </is>
      </c>
      <c r="F65" s="15" t="inlineStr"/>
      <c r="G65" s="15" t="inlineStr">
        <is>
          <t>HIGH - on the 2025 campus map</t>
        </is>
      </c>
      <c r="H65" s="15" t="inlineStr">
        <is>
          <t>In the 2006 index, but no plan was ever mirrored.</t>
        </is>
      </c>
    </row>
    <row r="66">
      <c r="A66" s="15" t="inlineStr">
        <is>
          <t>185</t>
        </is>
      </c>
      <c r="B66" s="15" t="inlineStr">
        <is>
          <t>Lane Stadium</t>
        </is>
      </c>
      <c r="C66" s="15" t="inlineStr">
        <is>
          <t>listed_2006_but_no_plan_file</t>
        </is>
      </c>
      <c r="D66" s="15" t="inlineStr">
        <is>
          <t>yes</t>
        </is>
      </c>
      <c r="E66" s="15" t="inlineStr">
        <is>
          <t>Lane Stadium</t>
        </is>
      </c>
      <c r="F66" s="15" t="inlineStr"/>
      <c r="G66" s="15" t="inlineStr">
        <is>
          <t>HIGH - on the 2025 campus map</t>
        </is>
      </c>
      <c r="H66" s="15" t="inlineStr">
        <is>
          <t>In the 2006 index, but no plan was ever mirrored.</t>
        </is>
      </c>
    </row>
    <row r="67">
      <c r="A67" s="15" t="inlineStr">
        <is>
          <t>113</t>
        </is>
      </c>
      <c r="B67" s="15" t="inlineStr">
        <is>
          <t>Latham Hall</t>
        </is>
      </c>
      <c r="C67" s="15" t="inlineStr">
        <is>
          <t>listed_2006_but_no_plan_file</t>
        </is>
      </c>
      <c r="D67" s="15" t="inlineStr">
        <is>
          <t>yes</t>
        </is>
      </c>
      <c r="E67" s="15" t="inlineStr">
        <is>
          <t>Latham Hall</t>
        </is>
      </c>
      <c r="F67" s="15" t="inlineStr"/>
      <c r="G67" s="15" t="inlineStr">
        <is>
          <t>HIGH - on the 2025 campus map</t>
        </is>
      </c>
      <c r="H67" s="15" t="inlineStr">
        <is>
          <t>In the 2006 index, but no plan was ever mirrored.</t>
        </is>
      </c>
    </row>
    <row r="68">
      <c r="A68" s="15" t="inlineStr">
        <is>
          <t>118</t>
        </is>
      </c>
      <c r="B68" s="15" t="inlineStr">
        <is>
          <t>Litton-Reaves Hall</t>
        </is>
      </c>
      <c r="C68" s="15" t="inlineStr">
        <is>
          <t>listed_2006_but_no_plan_file</t>
        </is>
      </c>
      <c r="D68" s="15" t="inlineStr">
        <is>
          <t>yes</t>
        </is>
      </c>
      <c r="E68" s="15" t="inlineStr">
        <is>
          <t>Litton Reaves Hall</t>
        </is>
      </c>
      <c r="F68" s="15" t="inlineStr"/>
      <c r="G68" s="15" t="inlineStr">
        <is>
          <t>HIGH - on the 2025 campus map</t>
        </is>
      </c>
      <c r="H68" s="15" t="inlineStr">
        <is>
          <t>In the 2006 index, but no plan was ever mirrored.</t>
        </is>
      </c>
    </row>
    <row r="69">
      <c r="A69" s="15" t="inlineStr">
        <is>
          <t>133</t>
        </is>
      </c>
      <c r="B69" s="15" t="inlineStr">
        <is>
          <t>Mitchell Hall (2028)</t>
        </is>
      </c>
      <c r="C69" s="15" t="inlineStr">
        <is>
          <t>listed_2006_but_no_plan_file</t>
        </is>
      </c>
      <c r="D69" s="15" t="inlineStr">
        <is>
          <t>yes</t>
        </is>
      </c>
      <c r="E69" s="15" t="inlineStr">
        <is>
          <t>Randolph Hall</t>
        </is>
      </c>
      <c r="F69" s="15" t="inlineStr"/>
      <c r="G69" s="15" t="inlineStr">
        <is>
          <t>HIGH - on the 2025 campus map</t>
        </is>
      </c>
      <c r="H69" s="15" t="inlineStr">
        <is>
          <t>In the 2006 index, but no plan was ever mirrored.</t>
        </is>
      </c>
    </row>
    <row r="70">
      <c r="A70" s="15" t="inlineStr">
        <is>
          <t>177</t>
        </is>
      </c>
      <c r="B70" s="15" t="inlineStr">
        <is>
          <t>Newman Library</t>
        </is>
      </c>
      <c r="C70" s="15" t="inlineStr">
        <is>
          <t>listed_2006_but_no_plan_file</t>
        </is>
      </c>
      <c r="D70" s="15" t="inlineStr">
        <is>
          <t>yes</t>
        </is>
      </c>
      <c r="E70" s="15" t="inlineStr">
        <is>
          <t>Carol M. Newman Library / Newman, Carol M. Library</t>
        </is>
      </c>
      <c r="F70" s="15" t="inlineStr"/>
      <c r="G70" s="15" t="inlineStr">
        <is>
          <t>HIGH - on the 2025 campus map</t>
        </is>
      </c>
      <c r="H70" s="15" t="inlineStr">
        <is>
          <t>In the 2006 index, but no plan was ever mirrored.</t>
        </is>
      </c>
    </row>
    <row r="71">
      <c r="A71" s="15" t="inlineStr">
        <is>
          <t>132</t>
        </is>
      </c>
      <c r="B71" s="15" t="inlineStr">
        <is>
          <t>Norris Hall</t>
        </is>
      </c>
      <c r="C71" s="15" t="inlineStr">
        <is>
          <t>listed_2006_but_no_plan_file</t>
        </is>
      </c>
      <c r="D71" s="15" t="inlineStr">
        <is>
          <t>yes</t>
        </is>
      </c>
      <c r="E71" s="15" t="inlineStr">
        <is>
          <t>Norris Hall</t>
        </is>
      </c>
      <c r="F71" s="15" t="inlineStr"/>
      <c r="G71" s="15" t="inlineStr">
        <is>
          <t>HIGH - on the 2025 campus map</t>
        </is>
      </c>
      <c r="H71" s="15" t="inlineStr">
        <is>
          <t>In the 2006 index, but no plan was ever mirrored.</t>
        </is>
      </c>
    </row>
    <row r="72">
      <c r="A72" s="15" t="inlineStr">
        <is>
          <t>190A</t>
        </is>
      </c>
      <c r="B72" s="15" t="inlineStr">
        <is>
          <t>Public Safety Building</t>
        </is>
      </c>
      <c r="C72" s="15" t="inlineStr">
        <is>
          <t>listed_2006_but_no_plan_file</t>
        </is>
      </c>
      <c r="D72" s="15" t="inlineStr">
        <is>
          <t>yes</t>
        </is>
      </c>
      <c r="E72" s="15" t="inlineStr">
        <is>
          <t>Southgate Center Addition</t>
        </is>
      </c>
      <c r="F72" s="15" t="inlineStr"/>
      <c r="G72" s="15" t="inlineStr">
        <is>
          <t>HIGH - on the 2025 campus map</t>
        </is>
      </c>
      <c r="H72" s="15" t="inlineStr">
        <is>
          <t>In the 2006 index, but no plan was ever mirrored.</t>
        </is>
      </c>
    </row>
    <row r="73">
      <c r="A73" s="15" t="inlineStr">
        <is>
          <t>108</t>
        </is>
      </c>
      <c r="B73" s="15" t="inlineStr">
        <is>
          <t>Seitz Hall</t>
        </is>
      </c>
      <c r="C73" s="15" t="inlineStr">
        <is>
          <t>listed_2006_but_no_plan_file</t>
        </is>
      </c>
      <c r="D73" s="15" t="inlineStr">
        <is>
          <t>yes</t>
        </is>
      </c>
      <c r="E73" s="15" t="inlineStr">
        <is>
          <t>Seitz Hall</t>
        </is>
      </c>
      <c r="F73" s="15" t="inlineStr"/>
      <c r="G73" s="15" t="inlineStr">
        <is>
          <t>HIGH - on the 2025 campus map</t>
        </is>
      </c>
      <c r="H73" s="15" t="inlineStr">
        <is>
          <t>In the 2006 index, but no plan was ever mirrored.</t>
        </is>
      </c>
    </row>
    <row r="74">
      <c r="A74" s="15" t="inlineStr">
        <is>
          <t>561</t>
        </is>
      </c>
      <c r="B74" s="15" t="inlineStr">
        <is>
          <t>Sheep Barn</t>
        </is>
      </c>
      <c r="C74" s="15" t="inlineStr">
        <is>
          <t>listed_2006_but_no_plan_file</t>
        </is>
      </c>
      <c r="D74" s="15" t="inlineStr">
        <is>
          <t>yes</t>
        </is>
      </c>
      <c r="E74" s="15" t="inlineStr">
        <is>
          <t>Sheep Barn</t>
        </is>
      </c>
      <c r="F74" s="15" t="inlineStr"/>
      <c r="G74" s="15" t="inlineStr">
        <is>
          <t>HIGH - on the 2025 campus map</t>
        </is>
      </c>
      <c r="H74" s="15" t="inlineStr">
        <is>
          <t>In the 2006 index, but no plan was ever mirrored.</t>
        </is>
      </c>
    </row>
    <row r="75">
      <c r="A75" s="15" t="inlineStr">
        <is>
          <t>250B</t>
        </is>
      </c>
      <c r="B75" s="15" t="inlineStr">
        <is>
          <t>Skelton Conference Center</t>
        </is>
      </c>
      <c r="C75" s="15" t="inlineStr">
        <is>
          <t>listed_2006_but_no_plan_file</t>
        </is>
      </c>
      <c r="D75" s="15" t="inlineStr">
        <is>
          <t>yes</t>
        </is>
      </c>
      <c r="E75" s="15" t="inlineStr">
        <is>
          <t>Skelton Conference Center</t>
        </is>
      </c>
      <c r="F75" s="15" t="inlineStr"/>
      <c r="G75" s="15" t="inlineStr">
        <is>
          <t>HIGH - on the 2025 campus map</t>
        </is>
      </c>
      <c r="H75" s="15" t="inlineStr">
        <is>
          <t>In the 2006 index, but no plan was ever mirrored.</t>
        </is>
      </c>
    </row>
    <row r="76">
      <c r="A76" s="15" t="inlineStr">
        <is>
          <t>105</t>
        </is>
      </c>
      <c r="B76" s="15" t="inlineStr">
        <is>
          <t>Smyth Hall</t>
        </is>
      </c>
      <c r="C76" s="15" t="inlineStr">
        <is>
          <t>listed_2006_but_no_plan_file</t>
        </is>
      </c>
      <c r="D76" s="15" t="inlineStr">
        <is>
          <t>yes</t>
        </is>
      </c>
      <c r="E76" s="15" t="inlineStr">
        <is>
          <t>Smyth Hall</t>
        </is>
      </c>
      <c r="F76" s="15" t="inlineStr"/>
      <c r="G76" s="15" t="inlineStr">
        <is>
          <t>HIGH - on the 2025 campus map</t>
        </is>
      </c>
      <c r="H76" s="15" t="inlineStr">
        <is>
          <t>In the 2006 index, but no plan was ever mirrored.</t>
        </is>
      </c>
    </row>
    <row r="77">
      <c r="A77" s="15" t="inlineStr">
        <is>
          <t>190</t>
        </is>
      </c>
      <c r="B77" s="15" t="inlineStr">
        <is>
          <t>Southgate Center</t>
        </is>
      </c>
      <c r="C77" s="15" t="inlineStr">
        <is>
          <t>listed_2006_but_no_plan_file</t>
        </is>
      </c>
      <c r="D77" s="15" t="inlineStr">
        <is>
          <t>yes</t>
        </is>
      </c>
      <c r="E77" s="15" t="inlineStr">
        <is>
          <t>Southgate Center</t>
        </is>
      </c>
      <c r="F77" s="15" t="inlineStr"/>
      <c r="G77" s="15" t="inlineStr">
        <is>
          <t>HIGH - on the 2025 campus map</t>
        </is>
      </c>
      <c r="H77" s="15" t="inlineStr">
        <is>
          <t>In the 2006 index, but no plan was ever mirrored.</t>
        </is>
      </c>
    </row>
    <row r="78">
      <c r="A78" s="15" t="inlineStr">
        <is>
          <t>250C</t>
        </is>
      </c>
      <c r="B78" s="15" t="inlineStr">
        <is>
          <t>The Inn at Virginia Tech</t>
        </is>
      </c>
      <c r="C78" s="15" t="inlineStr">
        <is>
          <t>listed_2006_but_no_plan_file</t>
        </is>
      </c>
      <c r="D78" s="15" t="inlineStr">
        <is>
          <t>yes</t>
        </is>
      </c>
      <c r="E78" s="15" t="inlineStr">
        <is>
          <t>The Inn at Virginia Tech</t>
        </is>
      </c>
      <c r="F78" s="15" t="inlineStr"/>
      <c r="G78" s="15" t="inlineStr">
        <is>
          <t>HIGH - on the 2025 campus map</t>
        </is>
      </c>
      <c r="H78" s="15" t="inlineStr">
        <is>
          <t>In the 2006 index, but no plan was ever mirrored.</t>
        </is>
      </c>
    </row>
    <row r="79">
      <c r="A79" s="15" t="inlineStr">
        <is>
          <t>302</t>
        </is>
      </c>
      <c r="B79" s="15" t="inlineStr">
        <is>
          <t>Virginia Tech Women's Center</t>
        </is>
      </c>
      <c r="C79" s="15" t="inlineStr">
        <is>
          <t>listed_2006_but_no_plan_file</t>
        </is>
      </c>
      <c r="D79" s="15" t="inlineStr">
        <is>
          <t>yes</t>
        </is>
      </c>
      <c r="E79" s="15" t="inlineStr">
        <is>
          <t>Teske House</t>
        </is>
      </c>
      <c r="F79" s="15" t="inlineStr"/>
      <c r="G79" s="15" t="inlineStr">
        <is>
          <t>HIGH - on the 2025 campus map</t>
        </is>
      </c>
      <c r="H79" s="15" t="inlineStr">
        <is>
          <t>In the 2006 index, but no plan was ever mirrored.</t>
        </is>
      </c>
    </row>
    <row r="80">
      <c r="A80" s="15" t="inlineStr">
        <is>
          <t>152</t>
        </is>
      </c>
      <c r="B80" s="15" t="inlineStr">
        <is>
          <t>Williams Hall</t>
        </is>
      </c>
      <c r="C80" s="15" t="inlineStr">
        <is>
          <t>listed_2006_but_no_plan_file</t>
        </is>
      </c>
      <c r="D80" s="15" t="inlineStr">
        <is>
          <t>yes</t>
        </is>
      </c>
      <c r="E80" s="15" t="inlineStr">
        <is>
          <t>Williams Hall</t>
        </is>
      </c>
      <c r="F80" s="15" t="inlineStr"/>
      <c r="G80" s="15" t="inlineStr">
        <is>
          <t>HIGH - on the 2025 campus map</t>
        </is>
      </c>
      <c r="H80" s="15" t="inlineStr">
        <is>
          <t>In the 2006 index, but no plan was ever mirrored.</t>
        </is>
      </c>
    </row>
    <row r="81">
      <c r="A81" s="10" t="inlineStr">
        <is>
          <t>0289B</t>
        </is>
      </c>
      <c r="B81" s="10" t="inlineStr">
        <is>
          <t>201 Church Street</t>
        </is>
      </c>
      <c r="C81" s="10" t="inlineStr">
        <is>
          <t>listed_2006_but_no_plan_file</t>
        </is>
      </c>
      <c r="D81" s="10" t="inlineStr">
        <is>
          <t>no</t>
        </is>
      </c>
      <c r="E81" s="10" t="inlineStr">
        <is>
          <t>201 Church Street</t>
        </is>
      </c>
      <c r="F81" s="10" t="inlineStr"/>
      <c r="G81" s="10" t="inlineStr">
        <is>
          <t>LOW - not on the 2025 campus map (farm, storage, outlying or demolished)</t>
        </is>
      </c>
      <c r="H81" s="10" t="inlineStr">
        <is>
          <t>VT-owned in 2006; may no longer exist.</t>
        </is>
      </c>
    </row>
    <row r="82">
      <c r="A82" s="10" t="inlineStr">
        <is>
          <t>2212</t>
        </is>
      </c>
      <c r="B82" s="10" t="inlineStr">
        <is>
          <t>AAAA Self Storage</t>
        </is>
      </c>
      <c r="C82" s="10" t="inlineStr">
        <is>
          <t>listed_2006_but_no_plan_file</t>
        </is>
      </c>
      <c r="D82" s="10" t="inlineStr">
        <is>
          <t>no</t>
        </is>
      </c>
      <c r="E82" s="10" t="inlineStr">
        <is>
          <t>AAAA Self Storage</t>
        </is>
      </c>
      <c r="F82" s="10" t="inlineStr"/>
      <c r="G82" s="10" t="inlineStr">
        <is>
          <t>LOW - not on the 2025 campus map (farm, storage, outlying or demolished)</t>
        </is>
      </c>
      <c r="H82" s="10" t="inlineStr">
        <is>
          <t>VT-owned in 2006; may no longer exist.</t>
        </is>
      </c>
    </row>
    <row r="83">
      <c r="A83" s="10" t="inlineStr">
        <is>
          <t>0510B</t>
        </is>
      </c>
      <c r="B83" s="10" t="inlineStr">
        <is>
          <t>Agronomy Service Building</t>
        </is>
      </c>
      <c r="C83" s="10" t="inlineStr">
        <is>
          <t>listed_2006_but_no_plan_file</t>
        </is>
      </c>
      <c r="D83" s="10" t="inlineStr">
        <is>
          <t>no</t>
        </is>
      </c>
      <c r="E83" s="10" t="inlineStr">
        <is>
          <t>Agronomy Service Building</t>
        </is>
      </c>
      <c r="F83" s="10" t="inlineStr"/>
      <c r="G83" s="10" t="inlineStr">
        <is>
          <t>LOW - not on the 2025 campus map (farm, storage, outlying or demolished)</t>
        </is>
      </c>
      <c r="H83" s="10" t="inlineStr">
        <is>
          <t>VT-owned in 2006; may no longer exist.</t>
        </is>
      </c>
    </row>
    <row r="84">
      <c r="A84" s="10" t="inlineStr">
        <is>
          <t>0504A</t>
        </is>
      </c>
      <c r="B84" s="10" t="inlineStr">
        <is>
          <t>Agronomy Service Building A</t>
        </is>
      </c>
      <c r="C84" s="10" t="inlineStr">
        <is>
          <t>listed_2006_but_no_plan_file</t>
        </is>
      </c>
      <c r="D84" s="10" t="inlineStr">
        <is>
          <t>no</t>
        </is>
      </c>
      <c r="E84" s="10" t="inlineStr">
        <is>
          <t>Agronomy Service Building A</t>
        </is>
      </c>
      <c r="F84" s="10" t="inlineStr"/>
      <c r="G84" s="10" t="inlineStr">
        <is>
          <t>LOW - not on the 2025 campus map (farm, storage, outlying or demolished)</t>
        </is>
      </c>
      <c r="H84" s="10" t="inlineStr">
        <is>
          <t>VT-owned in 2006; may no longer exist.</t>
        </is>
      </c>
    </row>
    <row r="85">
      <c r="A85" s="10" t="inlineStr">
        <is>
          <t>0504B</t>
        </is>
      </c>
      <c r="B85" s="10" t="inlineStr">
        <is>
          <t>Agronomy Service Building B</t>
        </is>
      </c>
      <c r="C85" s="10" t="inlineStr">
        <is>
          <t>listed_2006_but_no_plan_file</t>
        </is>
      </c>
      <c r="D85" s="10" t="inlineStr">
        <is>
          <t>no</t>
        </is>
      </c>
      <c r="E85" s="10" t="inlineStr">
        <is>
          <t>Agronomy Service Building B</t>
        </is>
      </c>
      <c r="F85" s="10" t="inlineStr"/>
      <c r="G85" s="10" t="inlineStr">
        <is>
          <t>LOW - not on the 2025 campus map (farm, storage, outlying or demolished)</t>
        </is>
      </c>
      <c r="H85" s="10" t="inlineStr">
        <is>
          <t>VT-owned in 2006; may no longer exist.</t>
        </is>
      </c>
    </row>
    <row r="86">
      <c r="A86" s="10" t="inlineStr">
        <is>
          <t>0510A</t>
        </is>
      </c>
      <c r="B86" s="10" t="inlineStr">
        <is>
          <t>Agronomy Storage Shed</t>
        </is>
      </c>
      <c r="C86" s="10" t="inlineStr">
        <is>
          <t>listed_2006_but_no_plan_file</t>
        </is>
      </c>
      <c r="D86" s="10" t="inlineStr">
        <is>
          <t>no</t>
        </is>
      </c>
      <c r="E86" s="10" t="inlineStr">
        <is>
          <t>Agronomy Storage Shed</t>
        </is>
      </c>
      <c r="F86" s="10" t="inlineStr"/>
      <c r="G86" s="10" t="inlineStr">
        <is>
          <t>LOW - not on the 2025 campus map (farm, storage, outlying or demolished)</t>
        </is>
      </c>
      <c r="H86" s="10" t="inlineStr">
        <is>
          <t>VT-owned in 2006; may no longer exist.</t>
        </is>
      </c>
    </row>
    <row r="87">
      <c r="A87" s="10" t="inlineStr">
        <is>
          <t>0584</t>
        </is>
      </c>
      <c r="B87" s="10" t="inlineStr">
        <is>
          <t>Aquaculture Facility</t>
        </is>
      </c>
      <c r="C87" s="10" t="inlineStr">
        <is>
          <t>listed_2006_but_no_plan_file</t>
        </is>
      </c>
      <c r="D87" s="10" t="inlineStr">
        <is>
          <t>no</t>
        </is>
      </c>
      <c r="E87" s="10" t="inlineStr">
        <is>
          <t>Aquaculture Facility</t>
        </is>
      </c>
      <c r="F87" s="10" t="inlineStr"/>
      <c r="G87" s="10" t="inlineStr">
        <is>
          <t>LOW - not on the 2025 campus map (farm, storage, outlying or demolished)</t>
        </is>
      </c>
      <c r="H87" s="10" t="inlineStr">
        <is>
          <t>VT-owned in 2006; may no longer exist.</t>
        </is>
      </c>
    </row>
    <row r="88">
      <c r="A88" s="10" t="inlineStr">
        <is>
          <t>2170</t>
        </is>
      </c>
      <c r="B88" s="10" t="inlineStr">
        <is>
          <t>Athletic Storage</t>
        </is>
      </c>
      <c r="C88" s="10" t="inlineStr">
        <is>
          <t>listed_2006_but_no_plan_file</t>
        </is>
      </c>
      <c r="D88" s="10" t="inlineStr">
        <is>
          <t>no</t>
        </is>
      </c>
      <c r="E88" s="10" t="inlineStr">
        <is>
          <t>Athletic Storage</t>
        </is>
      </c>
      <c r="F88" s="10" t="inlineStr"/>
      <c r="G88" s="10" t="inlineStr">
        <is>
          <t>LOW - not on the 2025 campus map (farm, storage, outlying or demolished)</t>
        </is>
      </c>
      <c r="H88" s="10" t="inlineStr">
        <is>
          <t>VT-owned in 2006; may no longer exist.</t>
        </is>
      </c>
    </row>
    <row r="89">
      <c r="A89" s="10" t="inlineStr">
        <is>
          <t>0501</t>
        </is>
      </c>
      <c r="B89" s="10" t="inlineStr">
        <is>
          <t>Barn</t>
        </is>
      </c>
      <c r="C89" s="10" t="inlineStr">
        <is>
          <t>listed_2006_but_no_plan_file</t>
        </is>
      </c>
      <c r="D89" s="10" t="inlineStr">
        <is>
          <t>no</t>
        </is>
      </c>
      <c r="E89" s="10" t="inlineStr">
        <is>
          <t>Barn</t>
        </is>
      </c>
      <c r="F89" s="10" t="inlineStr"/>
      <c r="G89" s="10" t="inlineStr">
        <is>
          <t>LOW - not on the 2025 campus map (farm, storage, outlying or demolished)</t>
        </is>
      </c>
      <c r="H89" s="10" t="inlineStr">
        <is>
          <t>VT-owned in 2006; may no longer exist.</t>
        </is>
      </c>
    </row>
    <row r="90">
      <c r="A90" s="10" t="inlineStr">
        <is>
          <t>0119</t>
        </is>
      </c>
      <c r="B90" s="10" t="inlineStr">
        <is>
          <t>Bioinformatics Facility Phase 1</t>
        </is>
      </c>
      <c r="C90" s="10" t="inlineStr">
        <is>
          <t>listed_2006_but_no_plan_file</t>
        </is>
      </c>
      <c r="D90" s="10" t="inlineStr">
        <is>
          <t>no</t>
        </is>
      </c>
      <c r="E90" s="10" t="inlineStr">
        <is>
          <t>Bioinformatics Facility Phase 1</t>
        </is>
      </c>
      <c r="F90" s="10" t="inlineStr"/>
      <c r="G90" s="10" t="inlineStr">
        <is>
          <t>LOW - not on the 2025 campus map (farm, storage, outlying or demolished)</t>
        </is>
      </c>
      <c r="H90" s="10" t="inlineStr">
        <is>
          <t>VT-owned in 2006; may no longer exist.</t>
        </is>
      </c>
    </row>
    <row r="91">
      <c r="A91" s="10" t="inlineStr">
        <is>
          <t>0588</t>
        </is>
      </c>
      <c r="B91" s="10" t="inlineStr">
        <is>
          <t>Boat Storage Building</t>
        </is>
      </c>
      <c r="C91" s="10" t="inlineStr">
        <is>
          <t>listed_2006_but_no_plan_file</t>
        </is>
      </c>
      <c r="D91" s="10" t="inlineStr">
        <is>
          <t>no</t>
        </is>
      </c>
      <c r="E91" s="10" t="inlineStr">
        <is>
          <t>Boat Storage Building</t>
        </is>
      </c>
      <c r="F91" s="10" t="inlineStr"/>
      <c r="G91" s="10" t="inlineStr">
        <is>
          <t>LOW - not on the 2025 campus map (farm, storage, outlying or demolished)</t>
        </is>
      </c>
      <c r="H91" s="10" t="inlineStr">
        <is>
          <t>VT-owned in 2006; may no longer exist.</t>
        </is>
      </c>
    </row>
    <row r="92">
      <c r="A92" s="10" t="inlineStr">
        <is>
          <t>1300</t>
        </is>
      </c>
      <c r="B92" s="10" t="inlineStr">
        <is>
          <t>Brick Ranch Dwelling</t>
        </is>
      </c>
      <c r="C92" s="10" t="inlineStr">
        <is>
          <t>listed_2006_but_no_plan_file</t>
        </is>
      </c>
      <c r="D92" s="10" t="inlineStr">
        <is>
          <t>no</t>
        </is>
      </c>
      <c r="E92" s="10" t="inlineStr">
        <is>
          <t>Brick Ranch Dwelling</t>
        </is>
      </c>
      <c r="F92" s="10" t="inlineStr"/>
      <c r="G92" s="10" t="inlineStr">
        <is>
          <t>LOW - not on the 2025 campus map (farm, storage, outlying or demolished)</t>
        </is>
      </c>
      <c r="H92" s="10" t="inlineStr">
        <is>
          <t>VT-owned in 2006; may no longer exist.</t>
        </is>
      </c>
    </row>
    <row r="93">
      <c r="A93" s="10" t="inlineStr">
        <is>
          <t>0433N</t>
        </is>
      </c>
      <c r="B93" s="10" t="inlineStr">
        <is>
          <t>Butler Building Herbicide Storage</t>
        </is>
      </c>
      <c r="C93" s="10" t="inlineStr">
        <is>
          <t>listed_2006_but_no_plan_file</t>
        </is>
      </c>
      <c r="D93" s="10" t="inlineStr">
        <is>
          <t>no</t>
        </is>
      </c>
      <c r="E93" s="10" t="inlineStr">
        <is>
          <t>Butler Building Herbicide Storage</t>
        </is>
      </c>
      <c r="F93" s="10" t="inlineStr"/>
      <c r="G93" s="10" t="inlineStr">
        <is>
          <t>LOW - not on the 2025 campus map (farm, storage, outlying or demolished)</t>
        </is>
      </c>
      <c r="H93" s="10" t="inlineStr">
        <is>
          <t>VT-owned in 2006; may no longer exist.</t>
        </is>
      </c>
    </row>
    <row r="94">
      <c r="A94" s="10" t="inlineStr">
        <is>
          <t>2410</t>
        </is>
      </c>
      <c r="B94" s="10" t="inlineStr">
        <is>
          <t>CAUS Display Space</t>
        </is>
      </c>
      <c r="C94" s="10" t="inlineStr">
        <is>
          <t>listed_2006_but_no_plan_file</t>
        </is>
      </c>
      <c r="D94" s="10" t="inlineStr">
        <is>
          <t>no</t>
        </is>
      </c>
      <c r="E94" s="10" t="inlineStr">
        <is>
          <t>CAUS Display Space</t>
        </is>
      </c>
      <c r="F94" s="10" t="inlineStr"/>
      <c r="G94" s="10" t="inlineStr">
        <is>
          <t>LOW - not on the 2025 campus map (farm, storage, outlying or demolished)</t>
        </is>
      </c>
      <c r="H94" s="10" t="inlineStr">
        <is>
          <t>VT-owned in 2006; may no longer exist.</t>
        </is>
      </c>
    </row>
    <row r="95">
      <c r="A95" s="10" t="inlineStr">
        <is>
          <t>2320</t>
        </is>
      </c>
      <c r="B95" s="10" t="inlineStr">
        <is>
          <t>CPAP 2</t>
        </is>
      </c>
      <c r="C95" s="10" t="inlineStr">
        <is>
          <t>listed_2006_but_no_plan_file</t>
        </is>
      </c>
      <c r="D95" s="10" t="inlineStr">
        <is>
          <t>no</t>
        </is>
      </c>
      <c r="E95" s="10" t="inlineStr">
        <is>
          <t>CPAP 2</t>
        </is>
      </c>
      <c r="F95" s="10" t="inlineStr"/>
      <c r="G95" s="10" t="inlineStr">
        <is>
          <t>LOW - not on the 2025 campus map (farm, storage, outlying or demolished)</t>
        </is>
      </c>
      <c r="H95" s="10" t="inlineStr">
        <is>
          <t>VT-owned in 2006; may no longer exist.</t>
        </is>
      </c>
    </row>
    <row r="96">
      <c r="A96" s="10" t="inlineStr">
        <is>
          <t>0470</t>
        </is>
      </c>
      <c r="B96" s="10" t="inlineStr">
        <is>
          <t>Calan Feed Barn</t>
        </is>
      </c>
      <c r="C96" s="10" t="inlineStr">
        <is>
          <t>listed_2006_but_no_plan_file</t>
        </is>
      </c>
      <c r="D96" s="10" t="inlineStr">
        <is>
          <t>no</t>
        </is>
      </c>
      <c r="E96" s="10" t="inlineStr">
        <is>
          <t>Calan Feed Barn</t>
        </is>
      </c>
      <c r="F96" s="10" t="inlineStr"/>
      <c r="G96" s="10" t="inlineStr">
        <is>
          <t>LOW - not on the 2025 campus map (farm, storage, outlying or demolished)</t>
        </is>
      </c>
      <c r="H96" s="10" t="inlineStr">
        <is>
          <t>VT-owned in 2006; may no longer exist.</t>
        </is>
      </c>
    </row>
    <row r="97">
      <c r="A97" s="10" t="inlineStr">
        <is>
          <t>2380</t>
        </is>
      </c>
      <c r="B97" s="10" t="inlineStr">
        <is>
          <t>Capri Building</t>
        </is>
      </c>
      <c r="C97" s="10" t="inlineStr">
        <is>
          <t>listed_2006_but_no_plan_file</t>
        </is>
      </c>
      <c r="D97" s="10" t="inlineStr">
        <is>
          <t>no</t>
        </is>
      </c>
      <c r="E97" s="10" t="inlineStr">
        <is>
          <t>Capri Building</t>
        </is>
      </c>
      <c r="F97" s="10" t="inlineStr"/>
      <c r="G97" s="10" t="inlineStr">
        <is>
          <t>LOW - not on the 2025 campus map (farm, storage, outlying or demolished)</t>
        </is>
      </c>
      <c r="H97" s="10" t="inlineStr">
        <is>
          <t>VT-owned in 2006; may no longer exist.</t>
        </is>
      </c>
    </row>
    <row r="98">
      <c r="A98" s="10" t="inlineStr">
        <is>
          <t>1329</t>
        </is>
      </c>
      <c r="B98" s="10" t="inlineStr">
        <is>
          <t>Cattle Handling Facility</t>
        </is>
      </c>
      <c r="C98" s="10" t="inlineStr">
        <is>
          <t>listed_2006_but_no_plan_file</t>
        </is>
      </c>
      <c r="D98" s="10" t="inlineStr">
        <is>
          <t>no</t>
        </is>
      </c>
      <c r="E98" s="10" t="inlineStr">
        <is>
          <t>Cattle Handling Facility</t>
        </is>
      </c>
      <c r="F98" s="10" t="inlineStr"/>
      <c r="G98" s="10" t="inlineStr">
        <is>
          <t>LOW - not on the 2025 campus map (farm, storage, outlying or demolished)</t>
        </is>
      </c>
      <c r="H98" s="10" t="inlineStr">
        <is>
          <t>VT-owned in 2006; may no longer exist.</t>
        </is>
      </c>
    </row>
    <row r="99">
      <c r="A99" s="10" t="inlineStr">
        <is>
          <t>0677</t>
        </is>
      </c>
      <c r="B99" s="10" t="inlineStr">
        <is>
          <t>Civil Engineering Lab Annex</t>
        </is>
      </c>
      <c r="C99" s="10" t="inlineStr">
        <is>
          <t>listed_2006_but_no_plan_file</t>
        </is>
      </c>
      <c r="D99" s="10" t="inlineStr">
        <is>
          <t>no</t>
        </is>
      </c>
      <c r="E99" s="10" t="inlineStr">
        <is>
          <t>Civil Engineering Lab Annex</t>
        </is>
      </c>
      <c r="F99" s="10" t="inlineStr"/>
      <c r="G99" s="10" t="inlineStr">
        <is>
          <t>LOW - not on the 2025 campus map (farm, storage, outlying or demolished)</t>
        </is>
      </c>
      <c r="H99" s="10" t="inlineStr">
        <is>
          <t>VT-owned in 2006; may no longer exist.</t>
        </is>
      </c>
    </row>
    <row r="100">
      <c r="A100" s="10" t="inlineStr">
        <is>
          <t>2315</t>
        </is>
      </c>
      <c r="B100" s="10" t="inlineStr">
        <is>
          <t>Collegiate Square</t>
        </is>
      </c>
      <c r="C100" s="10" t="inlineStr">
        <is>
          <t>listed_2006_but_no_plan_file</t>
        </is>
      </c>
      <c r="D100" s="10" t="inlineStr">
        <is>
          <t>no</t>
        </is>
      </c>
      <c r="E100" s="10" t="inlineStr">
        <is>
          <t>Collegiate Square</t>
        </is>
      </c>
      <c r="F100" s="10" t="inlineStr"/>
      <c r="G100" s="10" t="inlineStr">
        <is>
          <t>LOW - not on the 2025 campus map (farm, storage, outlying or demolished)</t>
        </is>
      </c>
      <c r="H100" s="10" t="inlineStr">
        <is>
          <t>VT-owned in 2006; may no longer exist.</t>
        </is>
      </c>
    </row>
    <row r="101">
      <c r="A101" s="10" t="inlineStr">
        <is>
          <t>2316</t>
        </is>
      </c>
      <c r="B101" s="10" t="inlineStr">
        <is>
          <t>Collegiate Square Two</t>
        </is>
      </c>
      <c r="C101" s="10" t="inlineStr">
        <is>
          <t>listed_2006_but_no_plan_file</t>
        </is>
      </c>
      <c r="D101" s="10" t="inlineStr">
        <is>
          <t>no</t>
        </is>
      </c>
      <c r="E101" s="10" t="inlineStr">
        <is>
          <t>Collegiate Square Two</t>
        </is>
      </c>
      <c r="F101" s="10" t="inlineStr"/>
      <c r="G101" s="10" t="inlineStr">
        <is>
          <t>LOW - not on the 2025 campus map (farm, storage, outlying or demolished)</t>
        </is>
      </c>
      <c r="H101" s="10" t="inlineStr">
        <is>
          <t>VT-owned in 2006; may no longer exist.</t>
        </is>
      </c>
    </row>
    <row r="102">
      <c r="A102" s="10" t="inlineStr">
        <is>
          <t>0469A</t>
        </is>
      </c>
      <c r="B102" s="10" t="inlineStr">
        <is>
          <t>Commodities Shed</t>
        </is>
      </c>
      <c r="C102" s="10" t="inlineStr">
        <is>
          <t>listed_2006_but_no_plan_file</t>
        </is>
      </c>
      <c r="D102" s="10" t="inlineStr">
        <is>
          <t>no</t>
        </is>
      </c>
      <c r="E102" s="10" t="inlineStr">
        <is>
          <t>Commodities Shed</t>
        </is>
      </c>
      <c r="F102" s="10" t="inlineStr"/>
      <c r="G102" s="10" t="inlineStr">
        <is>
          <t>LOW - not on the 2025 campus map (farm, storage, outlying or demolished)</t>
        </is>
      </c>
      <c r="H102" s="10" t="inlineStr">
        <is>
          <t>VT-owned in 2006; may no longer exist.</t>
        </is>
      </c>
    </row>
    <row r="103">
      <c r="A103" s="10" t="inlineStr">
        <is>
          <t>2220</t>
        </is>
      </c>
      <c r="B103" s="10" t="inlineStr">
        <is>
          <t>Commonwealth Enterprises Storage</t>
        </is>
      </c>
      <c r="C103" s="10" t="inlineStr">
        <is>
          <t>listed_2006_but_no_plan_file</t>
        </is>
      </c>
      <c r="D103" s="10" t="inlineStr">
        <is>
          <t>no</t>
        </is>
      </c>
      <c r="E103" s="10" t="inlineStr">
        <is>
          <t>Commonwealth Enterprises Storage</t>
        </is>
      </c>
      <c r="F103" s="10" t="inlineStr"/>
      <c r="G103" s="10" t="inlineStr">
        <is>
          <t>LOW - not on the 2025 campus map (farm, storage, outlying or demolished)</t>
        </is>
      </c>
      <c r="H103" s="10" t="inlineStr">
        <is>
          <t>VT-owned in 2006; may no longer exist.</t>
        </is>
      </c>
    </row>
    <row r="104">
      <c r="A104" s="10" t="inlineStr">
        <is>
          <t>2390</t>
        </is>
      </c>
      <c r="B104" s="10" t="inlineStr">
        <is>
          <t>Corner Properties</t>
        </is>
      </c>
      <c r="C104" s="10" t="inlineStr">
        <is>
          <t>listed_2006_but_no_plan_file</t>
        </is>
      </c>
      <c r="D104" s="10" t="inlineStr">
        <is>
          <t>no</t>
        </is>
      </c>
      <c r="E104" s="10" t="inlineStr">
        <is>
          <t>Corner Properties</t>
        </is>
      </c>
      <c r="F104" s="10" t="inlineStr"/>
      <c r="G104" s="10" t="inlineStr">
        <is>
          <t>LOW - not on the 2025 campus map (farm, storage, outlying or demolished)</t>
        </is>
      </c>
      <c r="H104" s="10" t="inlineStr">
        <is>
          <t>VT-owned in 2006; may no longer exist.</t>
        </is>
      </c>
    </row>
    <row r="105">
      <c r="A105" s="10" t="inlineStr">
        <is>
          <t>2005</t>
        </is>
      </c>
      <c r="B105" s="10" t="inlineStr">
        <is>
          <t>Downtown North</t>
        </is>
      </c>
      <c r="C105" s="10" t="inlineStr">
        <is>
          <t>listed_2006_but_no_plan_file</t>
        </is>
      </c>
      <c r="D105" s="10" t="inlineStr">
        <is>
          <t>no</t>
        </is>
      </c>
      <c r="E105" s="10" t="inlineStr">
        <is>
          <t>Downtown North</t>
        </is>
      </c>
      <c r="F105" s="10" t="inlineStr"/>
      <c r="G105" s="10" t="inlineStr">
        <is>
          <t>LOW - not on the 2025 campus map (farm, storage, outlying or demolished)</t>
        </is>
      </c>
      <c r="H105" s="10" t="inlineStr">
        <is>
          <t>VT-owned in 2006; may no longer exist.</t>
        </is>
      </c>
    </row>
    <row r="106">
      <c r="A106" s="10" t="inlineStr">
        <is>
          <t>0492</t>
        </is>
      </c>
      <c r="B106" s="10" t="inlineStr">
        <is>
          <t>Dry Stack Manure Barn</t>
        </is>
      </c>
      <c r="C106" s="10" t="inlineStr">
        <is>
          <t>listed_2006_but_no_plan_file</t>
        </is>
      </c>
      <c r="D106" s="10" t="inlineStr">
        <is>
          <t>no</t>
        </is>
      </c>
      <c r="E106" s="10" t="inlineStr">
        <is>
          <t>Dry Stack Manure Barn</t>
        </is>
      </c>
      <c r="F106" s="10" t="inlineStr"/>
      <c r="G106" s="10" t="inlineStr">
        <is>
          <t>LOW - not on the 2025 campus map (farm, storage, outlying or demolished)</t>
        </is>
      </c>
      <c r="H106" s="10" t="inlineStr">
        <is>
          <t>VT-owned in 2006; may no longer exist.</t>
        </is>
      </c>
    </row>
    <row r="107">
      <c r="A107" s="10" t="inlineStr">
        <is>
          <t>0553A</t>
        </is>
      </c>
      <c r="B107" s="10" t="inlineStr">
        <is>
          <t>Equitation Barn</t>
        </is>
      </c>
      <c r="C107" s="10" t="inlineStr">
        <is>
          <t>listed_2006_but_no_plan_file</t>
        </is>
      </c>
      <c r="D107" s="10" t="inlineStr">
        <is>
          <t>no</t>
        </is>
      </c>
      <c r="E107" s="10" t="inlineStr">
        <is>
          <t>Equitation Barn</t>
        </is>
      </c>
      <c r="F107" s="10" t="inlineStr"/>
      <c r="G107" s="10" t="inlineStr">
        <is>
          <t>LOW - not on the 2025 campus map (farm, storage, outlying or demolished)</t>
        </is>
      </c>
      <c r="H107" s="10" t="inlineStr">
        <is>
          <t>VT-owned in 2006; may no longer exist.</t>
        </is>
      </c>
    </row>
    <row r="108">
      <c r="A108" s="10" t="inlineStr">
        <is>
          <t>0583</t>
        </is>
      </c>
      <c r="B108" s="10" t="inlineStr">
        <is>
          <t>Forestry &amp; Wildlife Storage</t>
        </is>
      </c>
      <c r="C108" s="10" t="inlineStr">
        <is>
          <t>listed_2006_but_no_plan_file</t>
        </is>
      </c>
      <c r="D108" s="10" t="inlineStr">
        <is>
          <t>no</t>
        </is>
      </c>
      <c r="E108" s="10" t="inlineStr">
        <is>
          <t>Forestry &amp; Wildlife Storage</t>
        </is>
      </c>
      <c r="F108" s="10" t="inlineStr"/>
      <c r="G108" s="10" t="inlineStr">
        <is>
          <t>LOW - not on the 2025 campus map (farm, storage, outlying or demolished)</t>
        </is>
      </c>
      <c r="H108" s="10" t="inlineStr">
        <is>
          <t>VT-owned in 2006; may no longer exist.</t>
        </is>
      </c>
    </row>
    <row r="109">
      <c r="A109" s="10" t="inlineStr">
        <is>
          <t>0124V</t>
        </is>
      </c>
      <c r="B109" s="10" t="inlineStr">
        <is>
          <t>Forestry Shed</t>
        </is>
      </c>
      <c r="C109" s="10" t="inlineStr">
        <is>
          <t>listed_2006_but_no_plan_file</t>
        </is>
      </c>
      <c r="D109" s="10" t="inlineStr">
        <is>
          <t>no</t>
        </is>
      </c>
      <c r="E109" s="10" t="inlineStr">
        <is>
          <t>Forestry Shed</t>
        </is>
      </c>
      <c r="F109" s="10" t="inlineStr"/>
      <c r="G109" s="10" t="inlineStr">
        <is>
          <t>LOW - not on the 2025 campus map (farm, storage, outlying or demolished)</t>
        </is>
      </c>
      <c r="H109" s="10" t="inlineStr">
        <is>
          <t>VT-owned in 2006; may no longer exist.</t>
        </is>
      </c>
    </row>
    <row r="110">
      <c r="A110" s="10" t="inlineStr">
        <is>
          <t>1306</t>
        </is>
      </c>
      <c r="B110" s="10" t="inlineStr">
        <is>
          <t>Frame Barn</t>
        </is>
      </c>
      <c r="C110" s="10" t="inlineStr">
        <is>
          <t>listed_2006_but_no_plan_file</t>
        </is>
      </c>
      <c r="D110" s="10" t="inlineStr">
        <is>
          <t>no</t>
        </is>
      </c>
      <c r="E110" s="10" t="inlineStr">
        <is>
          <t>Frame Barn</t>
        </is>
      </c>
      <c r="F110" s="10" t="inlineStr"/>
      <c r="G110" s="10" t="inlineStr">
        <is>
          <t>LOW - not on the 2025 campus map (farm, storage, outlying or demolished)</t>
        </is>
      </c>
      <c r="H110" s="10" t="inlineStr">
        <is>
          <t>VT-owned in 2006; may no longer exist.</t>
        </is>
      </c>
    </row>
    <row r="111">
      <c r="A111" s="10" t="inlineStr">
        <is>
          <t>2275</t>
        </is>
      </c>
      <c r="B111" s="10" t="inlineStr">
        <is>
          <t>Frankfurter Building</t>
        </is>
      </c>
      <c r="C111" s="10" t="inlineStr">
        <is>
          <t>listed_2006_but_no_plan_file</t>
        </is>
      </c>
      <c r="D111" s="10" t="inlineStr">
        <is>
          <t>no</t>
        </is>
      </c>
      <c r="E111" s="10" t="inlineStr">
        <is>
          <t>Frankfurter Building</t>
        </is>
      </c>
      <c r="F111" s="10" t="inlineStr"/>
      <c r="G111" s="10" t="inlineStr">
        <is>
          <t>LOW - not on the 2025 campus map (farm, storage, outlying or demolished)</t>
        </is>
      </c>
      <c r="H111" s="10" t="inlineStr">
        <is>
          <t>VT-owned in 2006; may no longer exist.</t>
        </is>
      </c>
    </row>
    <row r="112">
      <c r="A112" s="10" t="inlineStr">
        <is>
          <t>0436</t>
        </is>
      </c>
      <c r="B112" s="10" t="inlineStr">
        <is>
          <t>Golf Course Garage</t>
        </is>
      </c>
      <c r="C112" s="10" t="inlineStr">
        <is>
          <t>listed_2006_but_no_plan_file</t>
        </is>
      </c>
      <c r="D112" s="10" t="inlineStr">
        <is>
          <t>no</t>
        </is>
      </c>
      <c r="E112" s="10" t="inlineStr">
        <is>
          <t>Golf Course Garage</t>
        </is>
      </c>
      <c r="F112" s="10" t="inlineStr"/>
      <c r="G112" s="10" t="inlineStr">
        <is>
          <t>LOW - not on the 2025 campus map (farm, storage, outlying or demolished)</t>
        </is>
      </c>
      <c r="H112" s="10" t="inlineStr">
        <is>
          <t>VT-owned in 2006; may no longer exist.</t>
        </is>
      </c>
    </row>
    <row r="113">
      <c r="A113" s="10" t="inlineStr">
        <is>
          <t>0552</t>
        </is>
      </c>
      <c r="B113" s="10" t="inlineStr">
        <is>
          <t>Granary</t>
        </is>
      </c>
      <c r="C113" s="10" t="inlineStr">
        <is>
          <t>listed_2006_but_no_plan_file</t>
        </is>
      </c>
      <c r="D113" s="10" t="inlineStr">
        <is>
          <t>no</t>
        </is>
      </c>
      <c r="E113" s="10" t="inlineStr">
        <is>
          <t>Granary</t>
        </is>
      </c>
      <c r="F113" s="10" t="inlineStr"/>
      <c r="G113" s="10" t="inlineStr">
        <is>
          <t>LOW - not on the 2025 campus map (farm, storage, outlying or demolished)</t>
        </is>
      </c>
      <c r="H113" s="10" t="inlineStr">
        <is>
          <t>VT-owned in 2006; may no longer exist.</t>
        </is>
      </c>
    </row>
    <row r="114">
      <c r="A114" s="10" t="inlineStr">
        <is>
          <t>0124F</t>
        </is>
      </c>
      <c r="B114" s="10" t="inlineStr">
        <is>
          <t>Greenhouse F1</t>
        </is>
      </c>
      <c r="C114" s="10" t="inlineStr">
        <is>
          <t>listed_2006_but_no_plan_file</t>
        </is>
      </c>
      <c r="D114" s="10" t="inlineStr">
        <is>
          <t>no</t>
        </is>
      </c>
      <c r="E114" s="10" t="inlineStr">
        <is>
          <t>Greenhouse F1</t>
        </is>
      </c>
      <c r="F114" s="10" t="inlineStr"/>
      <c r="G114" s="10" t="inlineStr">
        <is>
          <t>LOW - not on the 2025 campus map (farm, storage, outlying or demolished)</t>
        </is>
      </c>
      <c r="H114" s="10" t="inlineStr">
        <is>
          <t>VT-owned in 2006; may no longer exist.</t>
        </is>
      </c>
    </row>
    <row r="115">
      <c r="A115" s="10" t="inlineStr">
        <is>
          <t>0124E</t>
        </is>
      </c>
      <c r="B115" s="10" t="inlineStr">
        <is>
          <t>Greenhouse F2</t>
        </is>
      </c>
      <c r="C115" s="10" t="inlineStr">
        <is>
          <t>listed_2006_but_no_plan_file</t>
        </is>
      </c>
      <c r="D115" s="10" t="inlineStr">
        <is>
          <t>no</t>
        </is>
      </c>
      <c r="E115" s="10" t="inlineStr">
        <is>
          <t>Greenhouse F2</t>
        </is>
      </c>
      <c r="F115" s="10" t="inlineStr"/>
      <c r="G115" s="10" t="inlineStr">
        <is>
          <t>LOW - not on the 2025 campus map (farm, storage, outlying or demolished)</t>
        </is>
      </c>
      <c r="H115" s="10" t="inlineStr">
        <is>
          <t>VT-owned in 2006; may no longer exist.</t>
        </is>
      </c>
    </row>
    <row r="116">
      <c r="A116" s="10" t="inlineStr">
        <is>
          <t>0124D</t>
        </is>
      </c>
      <c r="B116" s="10" t="inlineStr">
        <is>
          <t>Greenhouse F3</t>
        </is>
      </c>
      <c r="C116" s="10" t="inlineStr">
        <is>
          <t>listed_2006_but_no_plan_file</t>
        </is>
      </c>
      <c r="D116" s="10" t="inlineStr">
        <is>
          <t>no</t>
        </is>
      </c>
      <c r="E116" s="10" t="inlineStr">
        <is>
          <t>Greenhouse F3</t>
        </is>
      </c>
      <c r="F116" s="10" t="inlineStr"/>
      <c r="G116" s="10" t="inlineStr">
        <is>
          <t>LOW - not on the 2025 campus map (farm, storage, outlying or demolished)</t>
        </is>
      </c>
      <c r="H116" s="10" t="inlineStr">
        <is>
          <t>VT-owned in 2006; may no longer exist.</t>
        </is>
      </c>
    </row>
    <row r="117">
      <c r="A117" s="10" t="inlineStr">
        <is>
          <t>0124C</t>
        </is>
      </c>
      <c r="B117" s="10" t="inlineStr">
        <is>
          <t>Greenhouse F4</t>
        </is>
      </c>
      <c r="C117" s="10" t="inlineStr">
        <is>
          <t>listed_2006_but_no_plan_file</t>
        </is>
      </c>
      <c r="D117" s="10" t="inlineStr">
        <is>
          <t>no</t>
        </is>
      </c>
      <c r="E117" s="10" t="inlineStr">
        <is>
          <t>Greenhouse F4</t>
        </is>
      </c>
      <c r="F117" s="10" t="inlineStr"/>
      <c r="G117" s="10" t="inlineStr">
        <is>
          <t>LOW - not on the 2025 campus map (farm, storage, outlying or demolished)</t>
        </is>
      </c>
      <c r="H117" s="10" t="inlineStr">
        <is>
          <t>VT-owned in 2006; may no longer exist.</t>
        </is>
      </c>
    </row>
    <row r="118">
      <c r="A118" s="10" t="inlineStr">
        <is>
          <t>0124B</t>
        </is>
      </c>
      <c r="B118" s="10" t="inlineStr">
        <is>
          <t>Greenhouse F5</t>
        </is>
      </c>
      <c r="C118" s="10" t="inlineStr">
        <is>
          <t>listed_2006_but_no_plan_file</t>
        </is>
      </c>
      <c r="D118" s="10" t="inlineStr">
        <is>
          <t>no</t>
        </is>
      </c>
      <c r="E118" s="10" t="inlineStr">
        <is>
          <t>Greenhouse F5</t>
        </is>
      </c>
      <c r="F118" s="10" t="inlineStr"/>
      <c r="G118" s="10" t="inlineStr">
        <is>
          <t>LOW - not on the 2025 campus map (farm, storage, outlying or demolished)</t>
        </is>
      </c>
      <c r="H118" s="10" t="inlineStr">
        <is>
          <t>VT-owned in 2006; may no longer exist.</t>
        </is>
      </c>
    </row>
    <row r="119">
      <c r="A119" s="10" t="inlineStr">
        <is>
          <t>0124G</t>
        </is>
      </c>
      <c r="B119" s="10" t="inlineStr">
        <is>
          <t>Greenhouse F7</t>
        </is>
      </c>
      <c r="C119" s="10" t="inlineStr">
        <is>
          <t>listed_2006_but_no_plan_file</t>
        </is>
      </c>
      <c r="D119" s="10" t="inlineStr">
        <is>
          <t>no</t>
        </is>
      </c>
      <c r="E119" s="10" t="inlineStr">
        <is>
          <t>Greenhouse F7</t>
        </is>
      </c>
      <c r="F119" s="10" t="inlineStr"/>
      <c r="G119" s="10" t="inlineStr">
        <is>
          <t>LOW - not on the 2025 campus map (farm, storage, outlying or demolished)</t>
        </is>
      </c>
      <c r="H119" s="10" t="inlineStr">
        <is>
          <t>VT-owned in 2006; may no longer exist.</t>
        </is>
      </c>
    </row>
    <row r="120">
      <c r="A120" s="10" t="inlineStr">
        <is>
          <t>0124H</t>
        </is>
      </c>
      <c r="B120" s="10" t="inlineStr">
        <is>
          <t>Greenhouse F8</t>
        </is>
      </c>
      <c r="C120" s="10" t="inlineStr">
        <is>
          <t>listed_2006_but_no_plan_file</t>
        </is>
      </c>
      <c r="D120" s="10" t="inlineStr">
        <is>
          <t>no</t>
        </is>
      </c>
      <c r="E120" s="10" t="inlineStr">
        <is>
          <t>Greenhouse F8</t>
        </is>
      </c>
      <c r="F120" s="10" t="inlineStr"/>
      <c r="G120" s="10" t="inlineStr">
        <is>
          <t>LOW - not on the 2025 campus map (farm, storage, outlying or demolished)</t>
        </is>
      </c>
      <c r="H120" s="10" t="inlineStr">
        <is>
          <t>VT-owned in 2006; may no longer exist.</t>
        </is>
      </c>
    </row>
    <row r="121">
      <c r="A121" s="10" t="inlineStr">
        <is>
          <t>0469C</t>
        </is>
      </c>
      <c r="B121" s="10" t="inlineStr">
        <is>
          <t>Hay Barn</t>
        </is>
      </c>
      <c r="C121" s="10" t="inlineStr">
        <is>
          <t>listed_2006_but_no_plan_file</t>
        </is>
      </c>
      <c r="D121" s="10" t="inlineStr">
        <is>
          <t>no</t>
        </is>
      </c>
      <c r="E121" s="10" t="inlineStr">
        <is>
          <t>Hay Barn</t>
        </is>
      </c>
      <c r="F121" s="10" t="inlineStr"/>
      <c r="G121" s="10" t="inlineStr">
        <is>
          <t>LOW - not on the 2025 campus map (farm, storage, outlying or demolished)</t>
        </is>
      </c>
      <c r="H121" s="10" t="inlineStr">
        <is>
          <t>VT-owned in 2006; may no longer exist.</t>
        </is>
      </c>
    </row>
    <row r="122">
      <c r="A122" s="10" t="inlineStr">
        <is>
          <t>0179A</t>
        </is>
      </c>
      <c r="B122" s="10" t="inlineStr">
        <is>
          <t>Henderson Hall</t>
        </is>
      </c>
      <c r="C122" s="10" t="inlineStr">
        <is>
          <t>listed_2006_but_no_plan_file</t>
        </is>
      </c>
      <c r="D122" s="10" t="inlineStr">
        <is>
          <t>no</t>
        </is>
      </c>
      <c r="E122" s="10" t="inlineStr">
        <is>
          <t>Henderson Hall</t>
        </is>
      </c>
      <c r="F122" s="10" t="inlineStr"/>
      <c r="G122" s="10" t="inlineStr">
        <is>
          <t>LOW - not on the 2025 campus map (farm, storage, outlying or demolished)</t>
        </is>
      </c>
      <c r="H122" s="10" t="inlineStr">
        <is>
          <t>VT-owned in 2006; may no longer exist.</t>
        </is>
      </c>
    </row>
    <row r="123">
      <c r="A123" s="10" t="inlineStr">
        <is>
          <t>0540</t>
        </is>
      </c>
      <c r="B123" s="10" t="inlineStr">
        <is>
          <t>Hog Barn</t>
        </is>
      </c>
      <c r="C123" s="10" t="inlineStr">
        <is>
          <t>listed_2006_but_no_plan_file</t>
        </is>
      </c>
      <c r="D123" s="10" t="inlineStr">
        <is>
          <t>no</t>
        </is>
      </c>
      <c r="E123" s="10" t="inlineStr">
        <is>
          <t>Hog Barn</t>
        </is>
      </c>
      <c r="F123" s="10" t="inlineStr"/>
      <c r="G123" s="10" t="inlineStr">
        <is>
          <t>LOW - not on the 2025 campus map (farm, storage, outlying or demolished)</t>
        </is>
      </c>
      <c r="H123" s="10" t="inlineStr">
        <is>
          <t>VT-owned in 2006; may no longer exist.</t>
        </is>
      </c>
    </row>
    <row r="124">
      <c r="A124" s="10" t="inlineStr">
        <is>
          <t>0540A</t>
        </is>
      </c>
      <c r="B124" s="10" t="inlineStr">
        <is>
          <t>Hog Feed Shed</t>
        </is>
      </c>
      <c r="C124" s="10" t="inlineStr">
        <is>
          <t>listed_2006_but_no_plan_file</t>
        </is>
      </c>
      <c r="D124" s="10" t="inlineStr">
        <is>
          <t>no</t>
        </is>
      </c>
      <c r="E124" s="10" t="inlineStr">
        <is>
          <t>Hog Feed Shed</t>
        </is>
      </c>
      <c r="F124" s="10" t="inlineStr"/>
      <c r="G124" s="10" t="inlineStr">
        <is>
          <t>LOW - not on the 2025 campus map (farm, storage, outlying or demolished)</t>
        </is>
      </c>
      <c r="H124" s="10" t="inlineStr">
        <is>
          <t>VT-owned in 2006; may no longer exist.</t>
        </is>
      </c>
    </row>
    <row r="125">
      <c r="A125" s="10" t="inlineStr">
        <is>
          <t>1315</t>
        </is>
      </c>
      <c r="B125" s="10" t="inlineStr">
        <is>
          <t>Horse Barn</t>
        </is>
      </c>
      <c r="C125" s="10" t="inlineStr">
        <is>
          <t>listed_2006_but_no_plan_file</t>
        </is>
      </c>
      <c r="D125" s="10" t="inlineStr">
        <is>
          <t>no</t>
        </is>
      </c>
      <c r="E125" s="10" t="inlineStr">
        <is>
          <t>Horse Barn</t>
        </is>
      </c>
      <c r="F125" s="10" t="inlineStr"/>
      <c r="G125" s="10" t="inlineStr">
        <is>
          <t>LOW - not on the 2025 campus map (farm, storage, outlying or demolished)</t>
        </is>
      </c>
      <c r="H125" s="10" t="inlineStr">
        <is>
          <t>VT-owned in 2006; may no longer exist.</t>
        </is>
      </c>
    </row>
    <row r="126">
      <c r="A126" s="10" t="inlineStr">
        <is>
          <t>0537A</t>
        </is>
      </c>
      <c r="B126" s="10" t="inlineStr">
        <is>
          <t>Isolation Unit</t>
        </is>
      </c>
      <c r="C126" s="10" t="inlineStr">
        <is>
          <t>listed_2006_but_no_plan_file</t>
        </is>
      </c>
      <c r="D126" s="10" t="inlineStr">
        <is>
          <t>no</t>
        </is>
      </c>
      <c r="E126" s="10" t="inlineStr">
        <is>
          <t>Isolation Unit</t>
        </is>
      </c>
      <c r="F126" s="10" t="inlineStr"/>
      <c r="G126" s="10" t="inlineStr">
        <is>
          <t>LOW - not on the 2025 campus map (farm, storage, outlying or demolished)</t>
        </is>
      </c>
      <c r="H126" s="10" t="inlineStr">
        <is>
          <t>VT-owned in 2006; may no longer exist.</t>
        </is>
      </c>
    </row>
    <row r="127">
      <c r="A127" s="10" t="inlineStr">
        <is>
          <t>2111</t>
        </is>
      </c>
      <c r="B127" s="10" t="inlineStr">
        <is>
          <t>Ivy Garden Apartments</t>
        </is>
      </c>
      <c r="C127" s="10" t="inlineStr">
        <is>
          <t>listed_2006_but_no_plan_file</t>
        </is>
      </c>
      <c r="D127" s="10" t="inlineStr">
        <is>
          <t>no</t>
        </is>
      </c>
      <c r="E127" s="10" t="inlineStr">
        <is>
          <t>Ivy Garden Apartments</t>
        </is>
      </c>
      <c r="F127" s="10" t="inlineStr"/>
      <c r="G127" s="10" t="inlineStr">
        <is>
          <t>LOW - not on the 2025 campus map (farm, storage, outlying or demolished)</t>
        </is>
      </c>
      <c r="H127" s="10" t="inlineStr">
        <is>
          <t>VT-owned in 2006; may no longer exist.</t>
        </is>
      </c>
    </row>
    <row r="128">
      <c r="A128" s="10" t="inlineStr">
        <is>
          <t>2490</t>
        </is>
      </c>
      <c r="B128" s="10" t="inlineStr">
        <is>
          <t>Kent Square</t>
        </is>
      </c>
      <c r="C128" s="10" t="inlineStr">
        <is>
          <t>listed_2006_but_no_plan_file</t>
        </is>
      </c>
      <c r="D128" s="10" t="inlineStr">
        <is>
          <t>no</t>
        </is>
      </c>
      <c r="E128" s="10" t="inlineStr">
        <is>
          <t>Kent Square</t>
        </is>
      </c>
      <c r="F128" s="10" t="inlineStr"/>
      <c r="G128" s="10" t="inlineStr">
        <is>
          <t>LOW - not on the 2025 campus map (farm, storage, outlying or demolished)</t>
        </is>
      </c>
      <c r="H128" s="10" t="inlineStr">
        <is>
          <t>VT-owned in 2006; may no longer exist.</t>
        </is>
      </c>
    </row>
    <row r="129">
      <c r="A129" s="10" t="inlineStr">
        <is>
          <t>1312</t>
        </is>
      </c>
      <c r="B129" s="10" t="inlineStr">
        <is>
          <t>Kentland Brick House</t>
        </is>
      </c>
      <c r="C129" s="10" t="inlineStr">
        <is>
          <t>listed_2006_but_no_plan_file</t>
        </is>
      </c>
      <c r="D129" s="10" t="inlineStr">
        <is>
          <t>no</t>
        </is>
      </c>
      <c r="E129" s="10" t="inlineStr">
        <is>
          <t>Kentland Brick House</t>
        </is>
      </c>
      <c r="F129" s="10" t="inlineStr"/>
      <c r="G129" s="10" t="inlineStr">
        <is>
          <t>LOW - not on the 2025 campus map (farm, storage, outlying or demolished)</t>
        </is>
      </c>
      <c r="H129" s="10" t="inlineStr">
        <is>
          <t>VT-owned in 2006; may no longer exist.</t>
        </is>
      </c>
    </row>
    <row r="130">
      <c r="A130" s="10" t="inlineStr">
        <is>
          <t>1326</t>
        </is>
      </c>
      <c r="B130" s="10" t="inlineStr">
        <is>
          <t>Machine Shed &amp; Shop</t>
        </is>
      </c>
      <c r="C130" s="10" t="inlineStr">
        <is>
          <t>listed_2006_but_no_plan_file</t>
        </is>
      </c>
      <c r="D130" s="10" t="inlineStr">
        <is>
          <t>no</t>
        </is>
      </c>
      <c r="E130" s="10" t="inlineStr">
        <is>
          <t>Machine Shed &amp; Shop</t>
        </is>
      </c>
      <c r="F130" s="10" t="inlineStr"/>
      <c r="G130" s="10" t="inlineStr">
        <is>
          <t>LOW - not on the 2025 campus map (farm, storage, outlying or demolished)</t>
        </is>
      </c>
      <c r="H130" s="10" t="inlineStr">
        <is>
          <t>VT-owned in 2006; may no longer exist.</t>
        </is>
      </c>
    </row>
    <row r="131">
      <c r="A131" s="10" t="inlineStr">
        <is>
          <t>0144</t>
        </is>
      </c>
      <c r="B131" s="10" t="inlineStr">
        <is>
          <t>Metal Barn</t>
        </is>
      </c>
      <c r="C131" s="10" t="inlineStr">
        <is>
          <t>listed_2006_but_no_plan_file</t>
        </is>
      </c>
      <c r="D131" s="10" t="inlineStr">
        <is>
          <t>no</t>
        </is>
      </c>
      <c r="E131" s="10" t="inlineStr">
        <is>
          <t>Metal Barn</t>
        </is>
      </c>
      <c r="F131" s="10" t="inlineStr"/>
      <c r="G131" s="10" t="inlineStr">
        <is>
          <t>LOW - not on the 2025 campus map (farm, storage, outlying or demolished)</t>
        </is>
      </c>
      <c r="H131" s="10" t="inlineStr">
        <is>
          <t>VT-owned in 2006; may no longer exist.</t>
        </is>
      </c>
    </row>
    <row r="132">
      <c r="A132" s="10" t="inlineStr">
        <is>
          <t>0135B</t>
        </is>
      </c>
      <c r="B132" s="10" t="inlineStr">
        <is>
          <t>Metal Equipment Shed</t>
        </is>
      </c>
      <c r="C132" s="10" t="inlineStr">
        <is>
          <t>listed_2006_but_no_plan_file</t>
        </is>
      </c>
      <c r="D132" s="10" t="inlineStr">
        <is>
          <t>no</t>
        </is>
      </c>
      <c r="E132" s="10" t="inlineStr">
        <is>
          <t>Metal Equipment Shed</t>
        </is>
      </c>
      <c r="F132" s="10" t="inlineStr"/>
      <c r="G132" s="10" t="inlineStr">
        <is>
          <t>LOW - not on the 2025 campus map (farm, storage, outlying or demolished)</t>
        </is>
      </c>
      <c r="H132" s="10" t="inlineStr">
        <is>
          <t>VT-owned in 2006; may no longer exist.</t>
        </is>
      </c>
    </row>
    <row r="133">
      <c r="A133" s="10" t="inlineStr">
        <is>
          <t>1324</t>
        </is>
      </c>
      <c r="B133" s="10" t="inlineStr">
        <is>
          <t>Metal Storage Building</t>
        </is>
      </c>
      <c r="C133" s="10" t="inlineStr">
        <is>
          <t>listed_2006_but_no_plan_file</t>
        </is>
      </c>
      <c r="D133" s="10" t="inlineStr">
        <is>
          <t>no</t>
        </is>
      </c>
      <c r="E133" s="10" t="inlineStr">
        <is>
          <t>Metal Storage Building</t>
        </is>
      </c>
      <c r="F133" s="10" t="inlineStr"/>
      <c r="G133" s="10" t="inlineStr">
        <is>
          <t>LOW - not on the 2025 campus map (farm, storage, outlying or demolished)</t>
        </is>
      </c>
      <c r="H133" s="10" t="inlineStr">
        <is>
          <t>VT-owned in 2006; may no longer exist.</t>
        </is>
      </c>
    </row>
    <row r="134">
      <c r="A134" s="10" t="inlineStr">
        <is>
          <t>0479</t>
        </is>
      </c>
      <c r="B134" s="10" t="inlineStr">
        <is>
          <t>Milking Barn</t>
        </is>
      </c>
      <c r="C134" s="10" t="inlineStr">
        <is>
          <t>listed_2006_but_no_plan_file</t>
        </is>
      </c>
      <c r="D134" s="10" t="inlineStr">
        <is>
          <t>no</t>
        </is>
      </c>
      <c r="E134" s="10" t="inlineStr">
        <is>
          <t>Milking Barn</t>
        </is>
      </c>
      <c r="F134" s="10" t="inlineStr"/>
      <c r="G134" s="10" t="inlineStr">
        <is>
          <t>LOW - not on the 2025 campus map (farm, storage, outlying or demolished)</t>
        </is>
      </c>
      <c r="H134" s="10" t="inlineStr">
        <is>
          <t>VT-owned in 2006; may no longer exist.</t>
        </is>
      </c>
    </row>
    <row r="135">
      <c r="A135" s="10" t="inlineStr">
        <is>
          <t>0474</t>
        </is>
      </c>
      <c r="B135" s="10" t="inlineStr">
        <is>
          <t>Milking Center</t>
        </is>
      </c>
      <c r="C135" s="10" t="inlineStr">
        <is>
          <t>listed_2006_but_no_plan_file</t>
        </is>
      </c>
      <c r="D135" s="10" t="inlineStr">
        <is>
          <t>no</t>
        </is>
      </c>
      <c r="E135" s="10" t="inlineStr">
        <is>
          <t>Milking Center</t>
        </is>
      </c>
      <c r="F135" s="10" t="inlineStr"/>
      <c r="G135" s="10" t="inlineStr">
        <is>
          <t>LOW - not on the 2025 campus map (farm, storage, outlying or demolished)</t>
        </is>
      </c>
      <c r="H135" s="10" t="inlineStr">
        <is>
          <t>VT-owned in 2006; may no longer exist.</t>
        </is>
      </c>
    </row>
    <row r="136">
      <c r="A136" s="10" t="inlineStr">
        <is>
          <t>0621</t>
        </is>
      </c>
      <c r="B136" s="10" t="inlineStr">
        <is>
          <t>Moss Research Building</t>
        </is>
      </c>
      <c r="C136" s="10" t="inlineStr">
        <is>
          <t>listed_2006_but_no_plan_file</t>
        </is>
      </c>
      <c r="D136" s="10" t="inlineStr">
        <is>
          <t>no</t>
        </is>
      </c>
      <c r="E136" s="10" t="inlineStr">
        <is>
          <t>Moss Research Building</t>
        </is>
      </c>
      <c r="F136" s="10" t="inlineStr"/>
      <c r="G136" s="10" t="inlineStr">
        <is>
          <t>LOW - not on the 2025 campus map (farm, storage, outlying or demolished)</t>
        </is>
      </c>
      <c r="H136" s="10" t="inlineStr">
        <is>
          <t>VT-owned in 2006; may no longer exist.</t>
        </is>
      </c>
    </row>
    <row r="137">
      <c r="A137" s="10" t="inlineStr">
        <is>
          <t>0446</t>
        </is>
      </c>
      <c r="B137" s="10" t="inlineStr">
        <is>
          <t>Multidiscipline Lab</t>
        </is>
      </c>
      <c r="C137" s="10" t="inlineStr">
        <is>
          <t>listed_2006_but_no_plan_file</t>
        </is>
      </c>
      <c r="D137" s="10" t="inlineStr">
        <is>
          <t>no</t>
        </is>
      </c>
      <c r="E137" s="10" t="inlineStr">
        <is>
          <t>Multidiscipline Lab</t>
        </is>
      </c>
      <c r="F137" s="10" t="inlineStr"/>
      <c r="G137" s="10" t="inlineStr">
        <is>
          <t>LOW - not on the 2025 campus map (farm, storage, outlying or demolished)</t>
        </is>
      </c>
      <c r="H137" s="10" t="inlineStr">
        <is>
          <t>VT-owned in 2006; may no longer exist.</t>
        </is>
      </c>
    </row>
    <row r="138">
      <c r="A138" s="10" t="inlineStr">
        <is>
          <t>0511</t>
        </is>
      </c>
      <c r="B138" s="10" t="inlineStr">
        <is>
          <t>New Agronomy Machine Shed</t>
        </is>
      </c>
      <c r="C138" s="10" t="inlineStr">
        <is>
          <t>listed_2006_but_no_plan_file</t>
        </is>
      </c>
      <c r="D138" s="10" t="inlineStr">
        <is>
          <t>no</t>
        </is>
      </c>
      <c r="E138" s="10" t="inlineStr">
        <is>
          <t>New Agronomy Machine Shed</t>
        </is>
      </c>
      <c r="F138" s="10" t="inlineStr"/>
      <c r="G138" s="10" t="inlineStr">
        <is>
          <t>LOW - not on the 2025 campus map (farm, storage, outlying or demolished)</t>
        </is>
      </c>
      <c r="H138" s="10" t="inlineStr">
        <is>
          <t>VT-owned in 2006; may no longer exist.</t>
        </is>
      </c>
    </row>
    <row r="139">
      <c r="A139" s="10" t="inlineStr">
        <is>
          <t>0488</t>
        </is>
      </c>
      <c r="B139" s="10" t="inlineStr">
        <is>
          <t>New Bull Barn</t>
        </is>
      </c>
      <c r="C139" s="10" t="inlineStr">
        <is>
          <t>listed_2006_but_no_plan_file</t>
        </is>
      </c>
      <c r="D139" s="10" t="inlineStr">
        <is>
          <t>no</t>
        </is>
      </c>
      <c r="E139" s="10" t="inlineStr">
        <is>
          <t>New Bull Barn</t>
        </is>
      </c>
      <c r="F139" s="10" t="inlineStr"/>
      <c r="G139" s="10" t="inlineStr">
        <is>
          <t>LOW - not on the 2025 campus map (farm, storage, outlying or demolished)</t>
        </is>
      </c>
      <c r="H139" s="10" t="inlineStr">
        <is>
          <t>VT-owned in 2006; may no longer exist.</t>
        </is>
      </c>
    </row>
    <row r="140">
      <c r="A140" s="10" t="inlineStr">
        <is>
          <t>0596</t>
        </is>
      </c>
      <c r="B140" s="10" t="inlineStr">
        <is>
          <t>New Geology Storage Building</t>
        </is>
      </c>
      <c r="C140" s="10" t="inlineStr">
        <is>
          <t>listed_2006_but_no_plan_file</t>
        </is>
      </c>
      <c r="D140" s="10" t="inlineStr">
        <is>
          <t>no</t>
        </is>
      </c>
      <c r="E140" s="10" t="inlineStr">
        <is>
          <t>New Geology Storage Building</t>
        </is>
      </c>
      <c r="F140" s="10" t="inlineStr"/>
      <c r="G140" s="10" t="inlineStr">
        <is>
          <t>LOW - not on the 2025 campus map (farm, storage, outlying or demolished)</t>
        </is>
      </c>
      <c r="H140" s="10" t="inlineStr">
        <is>
          <t>VT-owned in 2006; may no longer exist.</t>
        </is>
      </c>
    </row>
    <row r="141">
      <c r="A141" s="10" t="inlineStr">
        <is>
          <t>0489</t>
        </is>
      </c>
      <c r="B141" s="10" t="inlineStr">
        <is>
          <t>New Heifer Barn</t>
        </is>
      </c>
      <c r="C141" s="10" t="inlineStr">
        <is>
          <t>listed_2006_but_no_plan_file</t>
        </is>
      </c>
      <c r="D141" s="10" t="inlineStr">
        <is>
          <t>no</t>
        </is>
      </c>
      <c r="E141" s="10" t="inlineStr">
        <is>
          <t>New Heifer Barn</t>
        </is>
      </c>
      <c r="F141" s="10" t="inlineStr"/>
      <c r="G141" s="10" t="inlineStr">
        <is>
          <t>LOW - not on the 2025 campus map (farm, storage, outlying or demolished)</t>
        </is>
      </c>
      <c r="H141" s="10" t="inlineStr">
        <is>
          <t>VT-owned in 2006; may no longer exist.</t>
        </is>
      </c>
    </row>
    <row r="142">
      <c r="A142" s="10" t="inlineStr">
        <is>
          <t>0205</t>
        </is>
      </c>
      <c r="B142" s="10" t="inlineStr">
        <is>
          <t>Oil Storage Pump House</t>
        </is>
      </c>
      <c r="C142" s="10" t="inlineStr">
        <is>
          <t>listed_2006_but_no_plan_file</t>
        </is>
      </c>
      <c r="D142" s="10" t="inlineStr">
        <is>
          <t>no</t>
        </is>
      </c>
      <c r="E142" s="10" t="inlineStr">
        <is>
          <t>Oil Storage Pump House</t>
        </is>
      </c>
      <c r="F142" s="10" t="inlineStr"/>
      <c r="G142" s="10" t="inlineStr">
        <is>
          <t>LOW - not on the 2025 campus map (farm, storage, outlying or demolished)</t>
        </is>
      </c>
      <c r="H142" s="10" t="inlineStr">
        <is>
          <t>VT-owned in 2006; may no longer exist.</t>
        </is>
      </c>
    </row>
    <row r="143">
      <c r="A143" s="10" t="inlineStr">
        <is>
          <t>2240</t>
        </is>
      </c>
      <c r="B143" s="10" t="inlineStr">
        <is>
          <t>Old Grand Piano Building</t>
        </is>
      </c>
      <c r="C143" s="10" t="inlineStr">
        <is>
          <t>listed_2006_but_no_plan_file</t>
        </is>
      </c>
      <c r="D143" s="10" t="inlineStr">
        <is>
          <t>no</t>
        </is>
      </c>
      <c r="E143" s="10" t="inlineStr">
        <is>
          <t>Old Grand Piano Building</t>
        </is>
      </c>
      <c r="F143" s="10" t="inlineStr"/>
      <c r="G143" s="10" t="inlineStr">
        <is>
          <t>LOW - not on the 2025 campus map (farm, storage, outlying or demolished)</t>
        </is>
      </c>
      <c r="H143" s="10" t="inlineStr">
        <is>
          <t>VT-owned in 2006; may no longer exist.</t>
        </is>
      </c>
    </row>
    <row r="144">
      <c r="A144" s="10" t="inlineStr">
        <is>
          <t>0122</t>
        </is>
      </c>
      <c r="B144" s="10" t="inlineStr">
        <is>
          <t>Peggy Lee Hahn Garden Pavilion</t>
        </is>
      </c>
      <c r="C144" s="10" t="inlineStr">
        <is>
          <t>listed_2006_but_no_plan_file</t>
        </is>
      </c>
      <c r="D144" s="10" t="inlineStr">
        <is>
          <t>no</t>
        </is>
      </c>
      <c r="E144" s="10" t="inlineStr">
        <is>
          <t>Peggy Lee Hahn Garden Pavilion</t>
        </is>
      </c>
      <c r="F144" s="10" t="inlineStr"/>
      <c r="G144" s="10" t="inlineStr">
        <is>
          <t>LOW - not on the 2025 campus map (farm, storage, outlying or demolished)</t>
        </is>
      </c>
      <c r="H144" s="10" t="inlineStr">
        <is>
          <t>VT-owned in 2006; may no longer exist.</t>
        </is>
      </c>
    </row>
    <row r="145">
      <c r="A145" s="10" t="inlineStr">
        <is>
          <t>0488A</t>
        </is>
      </c>
      <c r="B145" s="10" t="inlineStr">
        <is>
          <t>Pen Pointer Facility at New Bull Barn</t>
        </is>
      </c>
      <c r="C145" s="10" t="inlineStr">
        <is>
          <t>listed_2006_but_no_plan_file</t>
        </is>
      </c>
      <c r="D145" s="10" t="inlineStr">
        <is>
          <t>no</t>
        </is>
      </c>
      <c r="E145" s="10" t="inlineStr">
        <is>
          <t>Pen Pointer Facility at New Bull Barn</t>
        </is>
      </c>
      <c r="F145" s="10" t="inlineStr"/>
      <c r="G145" s="10" t="inlineStr">
        <is>
          <t>LOW - not on the 2025 campus map (farm, storage, outlying or demolished)</t>
        </is>
      </c>
      <c r="H145" s="10" t="inlineStr">
        <is>
          <t>VT-owned in 2006; may no longer exist.</t>
        </is>
      </c>
    </row>
    <row r="146">
      <c r="A146" s="10" t="inlineStr">
        <is>
          <t>2100</t>
        </is>
      </c>
      <c r="B146" s="10" t="inlineStr">
        <is>
          <t>Pesticide Programs</t>
        </is>
      </c>
      <c r="C146" s="10" t="inlineStr">
        <is>
          <t>listed_2006_but_no_plan_file</t>
        </is>
      </c>
      <c r="D146" s="10" t="inlineStr">
        <is>
          <t>no</t>
        </is>
      </c>
      <c r="E146" s="10" t="inlineStr">
        <is>
          <t>Pesticide Programs</t>
        </is>
      </c>
      <c r="F146" s="10" t="inlineStr"/>
      <c r="G146" s="10" t="inlineStr">
        <is>
          <t>LOW - not on the 2025 campus map (farm, storage, outlying or demolished)</t>
        </is>
      </c>
      <c r="H146" s="10" t="inlineStr">
        <is>
          <t>VT-owned in 2006; may no longer exist.</t>
        </is>
      </c>
    </row>
    <row r="147">
      <c r="A147" s="10" t="inlineStr">
        <is>
          <t>0432</t>
        </is>
      </c>
      <c r="B147" s="10" t="inlineStr">
        <is>
          <t>Plant Pathology Garage</t>
        </is>
      </c>
      <c r="C147" s="10" t="inlineStr">
        <is>
          <t>listed_2006_but_no_plan_file</t>
        </is>
      </c>
      <c r="D147" s="10" t="inlineStr">
        <is>
          <t>no</t>
        </is>
      </c>
      <c r="E147" s="10" t="inlineStr">
        <is>
          <t>Plant Pathology Garage</t>
        </is>
      </c>
      <c r="F147" s="10" t="inlineStr"/>
      <c r="G147" s="10" t="inlineStr">
        <is>
          <t>LOW - not on the 2025 campus map (farm, storage, outlying or demolished)</t>
        </is>
      </c>
      <c r="H147" s="10" t="inlineStr">
        <is>
          <t>VT-owned in 2006; may no longer exist.</t>
        </is>
      </c>
    </row>
    <row r="148">
      <c r="A148" s="10" t="inlineStr">
        <is>
          <t>0433H</t>
        </is>
      </c>
      <c r="B148" s="10" t="inlineStr">
        <is>
          <t>Plant Pathology Greenhouse</t>
        </is>
      </c>
      <c r="C148" s="10" t="inlineStr">
        <is>
          <t>listed_2006_but_no_plan_file</t>
        </is>
      </c>
      <c r="D148" s="10" t="inlineStr">
        <is>
          <t>no</t>
        </is>
      </c>
      <c r="E148" s="10" t="inlineStr">
        <is>
          <t>Plant Pathology Greenhouse</t>
        </is>
      </c>
      <c r="F148" s="10" t="inlineStr"/>
      <c r="G148" s="10" t="inlineStr">
        <is>
          <t>LOW - not on the 2025 campus map (farm, storage, outlying or demolished)</t>
        </is>
      </c>
      <c r="H148" s="10" t="inlineStr">
        <is>
          <t>VT-owned in 2006; may no longer exist.</t>
        </is>
      </c>
    </row>
    <row r="149">
      <c r="A149" s="10" t="inlineStr">
        <is>
          <t>0435A</t>
        </is>
      </c>
      <c r="B149" s="10" t="inlineStr">
        <is>
          <t>Plant Pathology Lab Greenhouse</t>
        </is>
      </c>
      <c r="C149" s="10" t="inlineStr">
        <is>
          <t>listed_2006_but_no_plan_file</t>
        </is>
      </c>
      <c r="D149" s="10" t="inlineStr">
        <is>
          <t>no</t>
        </is>
      </c>
      <c r="E149" s="10" t="inlineStr">
        <is>
          <t>Plant Pathology Lab Greenhouse</t>
        </is>
      </c>
      <c r="F149" s="10" t="inlineStr"/>
      <c r="G149" s="10" t="inlineStr">
        <is>
          <t>LOW - not on the 2025 campus map (farm, storage, outlying or demolished)</t>
        </is>
      </c>
      <c r="H149" s="10" t="inlineStr">
        <is>
          <t>VT-owned in 2006; may no longer exist.</t>
        </is>
      </c>
    </row>
    <row r="150">
      <c r="A150" s="10" t="inlineStr">
        <is>
          <t>0433A</t>
        </is>
      </c>
      <c r="B150" s="10" t="inlineStr">
        <is>
          <t>Plant Pathology Lab and Office</t>
        </is>
      </c>
      <c r="C150" s="10" t="inlineStr">
        <is>
          <t>listed_2006_but_no_plan_file</t>
        </is>
      </c>
      <c r="D150" s="10" t="inlineStr">
        <is>
          <t>no</t>
        </is>
      </c>
      <c r="E150" s="10" t="inlineStr">
        <is>
          <t>Plant Pathology Lab and Office</t>
        </is>
      </c>
      <c r="F150" s="10" t="inlineStr"/>
      <c r="G150" s="10" t="inlineStr">
        <is>
          <t>LOW - not on the 2025 campus map (farm, storage, outlying or demolished)</t>
        </is>
      </c>
      <c r="H150" s="10" t="inlineStr">
        <is>
          <t>VT-owned in 2006; may no longer exist.</t>
        </is>
      </c>
    </row>
    <row r="151">
      <c r="A151" s="10" t="inlineStr">
        <is>
          <t>0442</t>
        </is>
      </c>
      <c r="B151" s="10" t="inlineStr">
        <is>
          <t>Poultry Virus Holding A</t>
        </is>
      </c>
      <c r="C151" s="10" t="inlineStr">
        <is>
          <t>listed_2006_but_no_plan_file</t>
        </is>
      </c>
      <c r="D151" s="10" t="inlineStr">
        <is>
          <t>no</t>
        </is>
      </c>
      <c r="E151" s="10" t="inlineStr">
        <is>
          <t>Poultry Virus Holding A</t>
        </is>
      </c>
      <c r="F151" s="10" t="inlineStr"/>
      <c r="G151" s="10" t="inlineStr">
        <is>
          <t>LOW - not on the 2025 campus map (farm, storage, outlying or demolished)</t>
        </is>
      </c>
      <c r="H151" s="10" t="inlineStr">
        <is>
          <t>VT-owned in 2006; may no longer exist.</t>
        </is>
      </c>
    </row>
    <row r="152">
      <c r="A152" s="10" t="inlineStr">
        <is>
          <t>0443</t>
        </is>
      </c>
      <c r="B152" s="10" t="inlineStr">
        <is>
          <t>Poultry Virus Holding B</t>
        </is>
      </c>
      <c r="C152" s="10" t="inlineStr">
        <is>
          <t>listed_2006_but_no_plan_file</t>
        </is>
      </c>
      <c r="D152" s="10" t="inlineStr">
        <is>
          <t>no</t>
        </is>
      </c>
      <c r="E152" s="10" t="inlineStr">
        <is>
          <t>Poultry Virus Holding B</t>
        </is>
      </c>
      <c r="F152" s="10" t="inlineStr"/>
      <c r="G152" s="10" t="inlineStr">
        <is>
          <t>LOW - not on the 2025 campus map (farm, storage, outlying or demolished)</t>
        </is>
      </c>
      <c r="H152" s="10" t="inlineStr">
        <is>
          <t>VT-owned in 2006; may no longer exist.</t>
        </is>
      </c>
    </row>
    <row r="153">
      <c r="A153" s="10" t="inlineStr">
        <is>
          <t>0444</t>
        </is>
      </c>
      <c r="B153" s="10" t="inlineStr">
        <is>
          <t>Poultry Virus Holding C</t>
        </is>
      </c>
      <c r="C153" s="10" t="inlineStr">
        <is>
          <t>listed_2006_but_no_plan_file</t>
        </is>
      </c>
      <c r="D153" s="10" t="inlineStr">
        <is>
          <t>no</t>
        </is>
      </c>
      <c r="E153" s="10" t="inlineStr">
        <is>
          <t>Poultry Virus Holding C</t>
        </is>
      </c>
      <c r="F153" s="10" t="inlineStr"/>
      <c r="G153" s="10" t="inlineStr">
        <is>
          <t>LOW - not on the 2025 campus map (farm, storage, outlying or demolished)</t>
        </is>
      </c>
      <c r="H153" s="10" t="inlineStr">
        <is>
          <t>VT-owned in 2006; may no longer exist.</t>
        </is>
      </c>
    </row>
    <row r="154">
      <c r="A154" s="10" t="inlineStr">
        <is>
          <t>2385</t>
        </is>
      </c>
      <c r="B154" s="10" t="inlineStr">
        <is>
          <t>Precision Business Storage</t>
        </is>
      </c>
      <c r="C154" s="10" t="inlineStr">
        <is>
          <t>listed_2006_but_no_plan_file</t>
        </is>
      </c>
      <c r="D154" s="10" t="inlineStr">
        <is>
          <t>no</t>
        </is>
      </c>
      <c r="E154" s="10" t="inlineStr">
        <is>
          <t>Precision Business Storage</t>
        </is>
      </c>
      <c r="F154" s="10" t="inlineStr"/>
      <c r="G154" s="10" t="inlineStr">
        <is>
          <t>LOW - not on the 2025 campus map (farm, storage, outlying or demolished)</t>
        </is>
      </c>
      <c r="H154" s="10" t="inlineStr">
        <is>
          <t>VT-owned in 2006; may no longer exist.</t>
        </is>
      </c>
    </row>
    <row r="155">
      <c r="A155" s="10" t="inlineStr">
        <is>
          <t>2120</t>
        </is>
      </c>
      <c r="B155" s="10" t="inlineStr">
        <is>
          <t>Quarry Stone Processing Facility</t>
        </is>
      </c>
      <c r="C155" s="10" t="inlineStr">
        <is>
          <t>listed_2006_but_no_plan_file</t>
        </is>
      </c>
      <c r="D155" s="10" t="inlineStr">
        <is>
          <t>no</t>
        </is>
      </c>
      <c r="E155" s="10" t="inlineStr">
        <is>
          <t>Quarry Stone Processing Facility</t>
        </is>
      </c>
      <c r="F155" s="10" t="inlineStr"/>
      <c r="G155" s="10" t="inlineStr">
        <is>
          <t>LOW - not on the 2025 campus map (farm, storage, outlying or demolished)</t>
        </is>
      </c>
      <c r="H155" s="10" t="inlineStr">
        <is>
          <t>VT-owned in 2006; may no longer exist.</t>
        </is>
      </c>
    </row>
    <row r="156">
      <c r="A156" s="10" t="inlineStr">
        <is>
          <t>0630</t>
        </is>
      </c>
      <c r="B156" s="10" t="inlineStr">
        <is>
          <t>Research Building Number 10</t>
        </is>
      </c>
      <c r="C156" s="10" t="inlineStr">
        <is>
          <t>listed_2006_but_no_plan_file</t>
        </is>
      </c>
      <c r="D156" s="10" t="inlineStr">
        <is>
          <t>no</t>
        </is>
      </c>
      <c r="E156" s="10" t="inlineStr">
        <is>
          <t>Research Building Number 10</t>
        </is>
      </c>
      <c r="F156" s="10" t="inlineStr"/>
      <c r="G156" s="10" t="inlineStr">
        <is>
          <t>LOW - not on the 2025 campus map (farm, storage, outlying or demolished)</t>
        </is>
      </c>
      <c r="H156" s="10" t="inlineStr">
        <is>
          <t>VT-owned in 2006; may no longer exist.</t>
        </is>
      </c>
    </row>
    <row r="157">
      <c r="A157" s="10" t="inlineStr">
        <is>
          <t>0629</t>
        </is>
      </c>
      <c r="B157" s="10" t="inlineStr">
        <is>
          <t>Research Building Number 8</t>
        </is>
      </c>
      <c r="C157" s="10" t="inlineStr">
        <is>
          <t>listed_2006_but_no_plan_file</t>
        </is>
      </c>
      <c r="D157" s="10" t="inlineStr">
        <is>
          <t>no</t>
        </is>
      </c>
      <c r="E157" s="10" t="inlineStr">
        <is>
          <t>Research Building Number 8</t>
        </is>
      </c>
      <c r="F157" s="10" t="inlineStr"/>
      <c r="G157" s="10" t="inlineStr">
        <is>
          <t>LOW - not on the 2025 campus map (farm, storage, outlying or demolished)</t>
        </is>
      </c>
      <c r="H157" s="10" t="inlineStr">
        <is>
          <t>VT-owned in 2006; may no longer exist.</t>
        </is>
      </c>
    </row>
    <row r="158">
      <c r="A158" s="10" t="inlineStr">
        <is>
          <t>0309</t>
        </is>
      </c>
      <c r="B158" s="10" t="inlineStr">
        <is>
          <t>Residence</t>
        </is>
      </c>
      <c r="C158" s="10" t="inlineStr">
        <is>
          <t>listed_2006_but_no_plan_file</t>
        </is>
      </c>
      <c r="D158" s="10" t="inlineStr">
        <is>
          <t>no</t>
        </is>
      </c>
      <c r="E158" s="10" t="inlineStr">
        <is>
          <t>Residence</t>
        </is>
      </c>
      <c r="F158" s="10" t="inlineStr"/>
      <c r="G158" s="10" t="inlineStr">
        <is>
          <t>LOW - not on the 2025 campus map (farm, storage, outlying or demolished)</t>
        </is>
      </c>
      <c r="H158" s="10" t="inlineStr">
        <is>
          <t>VT-owned in 2006; may no longer exist.</t>
        </is>
      </c>
    </row>
    <row r="159">
      <c r="A159" s="10" t="inlineStr">
        <is>
          <t>2205</t>
        </is>
      </c>
      <c r="B159" s="10" t="inlineStr">
        <is>
          <t>Security Self Storage</t>
        </is>
      </c>
      <c r="C159" s="10" t="inlineStr">
        <is>
          <t>listed_2006_but_no_plan_file</t>
        </is>
      </c>
      <c r="D159" s="10" t="inlineStr">
        <is>
          <t>no</t>
        </is>
      </c>
      <c r="E159" s="10" t="inlineStr">
        <is>
          <t>Security Self Storage</t>
        </is>
      </c>
      <c r="F159" s="10" t="inlineStr"/>
      <c r="G159" s="10" t="inlineStr">
        <is>
          <t>LOW - not on the 2025 campus map (farm, storage, outlying or demolished)</t>
        </is>
      </c>
      <c r="H159" s="10" t="inlineStr">
        <is>
          <t>VT-owned in 2006; may no longer exist.</t>
        </is>
      </c>
    </row>
    <row r="160">
      <c r="A160" s="10" t="inlineStr">
        <is>
          <t>0429</t>
        </is>
      </c>
      <c r="B160" s="10" t="inlineStr">
        <is>
          <t>Seed House</t>
        </is>
      </c>
      <c r="C160" s="10" t="inlineStr">
        <is>
          <t>listed_2006_but_no_plan_file</t>
        </is>
      </c>
      <c r="D160" s="10" t="inlineStr">
        <is>
          <t>no</t>
        </is>
      </c>
      <c r="E160" s="10" t="inlineStr">
        <is>
          <t>Seed House</t>
        </is>
      </c>
      <c r="F160" s="10" t="inlineStr"/>
      <c r="G160" s="10" t="inlineStr">
        <is>
          <t>LOW - not on the 2025 campus map (farm, storage, outlying or demolished)</t>
        </is>
      </c>
      <c r="H160" s="10" t="inlineStr">
        <is>
          <t>VT-owned in 2006; may no longer exist.</t>
        </is>
      </c>
    </row>
    <row r="161">
      <c r="A161" s="10" t="inlineStr">
        <is>
          <t>0479A</t>
        </is>
      </c>
      <c r="B161" s="10" t="inlineStr">
        <is>
          <t>Smithfield Beef Barn</t>
        </is>
      </c>
      <c r="C161" s="10" t="inlineStr">
        <is>
          <t>listed_2006_but_no_plan_file</t>
        </is>
      </c>
      <c r="D161" s="10" t="inlineStr">
        <is>
          <t>no</t>
        </is>
      </c>
      <c r="E161" s="10" t="inlineStr">
        <is>
          <t>Smithfield Beef Barn</t>
        </is>
      </c>
      <c r="F161" s="10" t="inlineStr"/>
      <c r="G161" s="10" t="inlineStr">
        <is>
          <t>LOW - not on the 2025 campus map (farm, storage, outlying or demolished)</t>
        </is>
      </c>
      <c r="H161" s="10" t="inlineStr">
        <is>
          <t>VT-owned in 2006; may no longer exist.</t>
        </is>
      </c>
    </row>
    <row r="162">
      <c r="A162" s="10" t="inlineStr">
        <is>
          <t>2405</t>
        </is>
      </c>
      <c r="B162" s="10" t="inlineStr">
        <is>
          <t>Sterrett-Commerce Street</t>
        </is>
      </c>
      <c r="C162" s="10" t="inlineStr">
        <is>
          <t>listed_2006_but_no_plan_file</t>
        </is>
      </c>
      <c r="D162" s="10" t="inlineStr">
        <is>
          <t>no</t>
        </is>
      </c>
      <c r="E162" s="10" t="inlineStr">
        <is>
          <t>Sterrett-Commerce Street</t>
        </is>
      </c>
      <c r="F162" s="10" t="inlineStr"/>
      <c r="G162" s="10" t="inlineStr">
        <is>
          <t>LOW - not on the 2025 campus map (farm, storage, outlying or demolished)</t>
        </is>
      </c>
      <c r="H162" s="10" t="inlineStr">
        <is>
          <t>VT-owned in 2006; may no longer exist.</t>
        </is>
      </c>
    </row>
    <row r="163">
      <c r="A163" s="10" t="inlineStr">
        <is>
          <t>0124J</t>
        </is>
      </c>
      <c r="B163" s="10" t="inlineStr">
        <is>
          <t>Storage Building</t>
        </is>
      </c>
      <c r="C163" s="10" t="inlineStr">
        <is>
          <t>listed_2006_but_no_plan_file</t>
        </is>
      </c>
      <c r="D163" s="10" t="inlineStr">
        <is>
          <t>no</t>
        </is>
      </c>
      <c r="E163" s="10" t="inlineStr">
        <is>
          <t>Storage Building</t>
        </is>
      </c>
      <c r="F163" s="10" t="inlineStr"/>
      <c r="G163" s="10" t="inlineStr">
        <is>
          <t>LOW - not on the 2025 campus map (farm, storage, outlying or demolished)</t>
        </is>
      </c>
      <c r="H163" s="10" t="inlineStr">
        <is>
          <t>VT-owned in 2006; may no longer exist.</t>
        </is>
      </c>
    </row>
    <row r="164">
      <c r="A164" s="10" t="inlineStr">
        <is>
          <t>0446B</t>
        </is>
      </c>
      <c r="B164" s="10" t="inlineStr">
        <is>
          <t>Storage Trailer</t>
        </is>
      </c>
      <c r="C164" s="10" t="inlineStr">
        <is>
          <t>listed_2006_but_no_plan_file</t>
        </is>
      </c>
      <c r="D164" s="10" t="inlineStr">
        <is>
          <t>no</t>
        </is>
      </c>
      <c r="E164" s="10" t="inlineStr">
        <is>
          <t>Storage Trailer</t>
        </is>
      </c>
      <c r="F164" s="10" t="inlineStr"/>
      <c r="G164" s="10" t="inlineStr">
        <is>
          <t>LOW - not on the 2025 campus map (farm, storage, outlying or demolished)</t>
        </is>
      </c>
      <c r="H164" s="10" t="inlineStr">
        <is>
          <t>VT-owned in 2006; may no longer exist.</t>
        </is>
      </c>
    </row>
    <row r="165">
      <c r="A165" s="10" t="inlineStr">
        <is>
          <t>0541</t>
        </is>
      </c>
      <c r="B165" s="10" t="inlineStr">
        <is>
          <t>Swine Center Building</t>
        </is>
      </c>
      <c r="C165" s="10" t="inlineStr">
        <is>
          <t>listed_2006_but_no_plan_file</t>
        </is>
      </c>
      <c r="D165" s="10" t="inlineStr">
        <is>
          <t>no</t>
        </is>
      </c>
      <c r="E165" s="10" t="inlineStr">
        <is>
          <t>Swine Center Building</t>
        </is>
      </c>
      <c r="F165" s="10" t="inlineStr"/>
      <c r="G165" s="10" t="inlineStr">
        <is>
          <t>LOW - not on the 2025 campus map (farm, storage, outlying or demolished)</t>
        </is>
      </c>
      <c r="H165" s="10" t="inlineStr">
        <is>
          <t>VT-owned in 2006; may no longer exist.</t>
        </is>
      </c>
    </row>
    <row r="166">
      <c r="A166" s="10" t="inlineStr">
        <is>
          <t>0450</t>
        </is>
      </c>
      <c r="B166" s="10" t="inlineStr">
        <is>
          <t>Swine Disease Research</t>
        </is>
      </c>
      <c r="C166" s="10" t="inlineStr">
        <is>
          <t>listed_2006_but_no_plan_file</t>
        </is>
      </c>
      <c r="D166" s="10" t="inlineStr">
        <is>
          <t>no</t>
        </is>
      </c>
      <c r="E166" s="10" t="inlineStr">
        <is>
          <t>Swine Disease Research</t>
        </is>
      </c>
      <c r="F166" s="10" t="inlineStr"/>
      <c r="G166" s="10" t="inlineStr">
        <is>
          <t>LOW - not on the 2025 campus map (farm, storage, outlying or demolished)</t>
        </is>
      </c>
      <c r="H166" s="10" t="inlineStr">
        <is>
          <t>VT-owned in 2006; may no longer exist.</t>
        </is>
      </c>
    </row>
    <row r="167">
      <c r="A167" s="10" t="inlineStr">
        <is>
          <t>0553B</t>
        </is>
      </c>
      <c r="B167" s="10" t="inlineStr">
        <is>
          <t>Tack Building</t>
        </is>
      </c>
      <c r="C167" s="10" t="inlineStr">
        <is>
          <t>listed_2006_but_no_plan_file</t>
        </is>
      </c>
      <c r="D167" s="10" t="inlineStr">
        <is>
          <t>no</t>
        </is>
      </c>
      <c r="E167" s="10" t="inlineStr">
        <is>
          <t>Tack Building</t>
        </is>
      </c>
      <c r="F167" s="10" t="inlineStr"/>
      <c r="G167" s="10" t="inlineStr">
        <is>
          <t>LOW - not on the 2025 campus map (farm, storage, outlying or demolished)</t>
        </is>
      </c>
      <c r="H167" s="10" t="inlineStr">
        <is>
          <t>VT-owned in 2006; may no longer exist.</t>
        </is>
      </c>
    </row>
    <row r="168">
      <c r="A168" s="10" t="inlineStr">
        <is>
          <t>0548A</t>
        </is>
      </c>
      <c r="B168" s="10" t="inlineStr">
        <is>
          <t>Test Cell Building</t>
        </is>
      </c>
      <c r="C168" s="10" t="inlineStr">
        <is>
          <t>listed_2006_but_no_plan_file</t>
        </is>
      </c>
      <c r="D168" s="10" t="inlineStr">
        <is>
          <t>no</t>
        </is>
      </c>
      <c r="E168" s="10" t="inlineStr">
        <is>
          <t>Test Cell Building</t>
        </is>
      </c>
      <c r="F168" s="10" t="inlineStr"/>
      <c r="G168" s="10" t="inlineStr">
        <is>
          <t>LOW - not on the 2025 campus map (farm, storage, outlying or demolished)</t>
        </is>
      </c>
      <c r="H168" s="10" t="inlineStr">
        <is>
          <t>VT-owned in 2006; may no longer exist.</t>
        </is>
      </c>
    </row>
    <row r="169">
      <c r="A169" s="10" t="inlineStr">
        <is>
          <t>0607A</t>
        </is>
      </c>
      <c r="B169" s="10" t="inlineStr">
        <is>
          <t>Test Cell Building A</t>
        </is>
      </c>
      <c r="C169" s="10" t="inlineStr">
        <is>
          <t>listed_2006_but_no_plan_file</t>
        </is>
      </c>
      <c r="D169" s="10" t="inlineStr">
        <is>
          <t>no</t>
        </is>
      </c>
      <c r="E169" s="10" t="inlineStr">
        <is>
          <t>Test Cell Building A</t>
        </is>
      </c>
      <c r="F169" s="10" t="inlineStr"/>
      <c r="G169" s="10" t="inlineStr">
        <is>
          <t>LOW - not on the 2025 campus map (farm, storage, outlying or demolished)</t>
        </is>
      </c>
      <c r="H169" s="10" t="inlineStr">
        <is>
          <t>VT-owned in 2006; may no longer exist.</t>
        </is>
      </c>
    </row>
    <row r="170">
      <c r="A170" s="10" t="inlineStr">
        <is>
          <t>0607B</t>
        </is>
      </c>
      <c r="B170" s="10" t="inlineStr">
        <is>
          <t>Test Cell Building B</t>
        </is>
      </c>
      <c r="C170" s="10" t="inlineStr">
        <is>
          <t>listed_2006_but_no_plan_file</t>
        </is>
      </c>
      <c r="D170" s="10" t="inlineStr">
        <is>
          <t>no</t>
        </is>
      </c>
      <c r="E170" s="10" t="inlineStr">
        <is>
          <t>Test Cell Building B</t>
        </is>
      </c>
      <c r="F170" s="10" t="inlineStr"/>
      <c r="G170" s="10" t="inlineStr">
        <is>
          <t>LOW - not on the 2025 campus map (farm, storage, outlying or demolished)</t>
        </is>
      </c>
      <c r="H170" s="10" t="inlineStr">
        <is>
          <t>VT-owned in 2006; may no longer exist.</t>
        </is>
      </c>
    </row>
    <row r="171">
      <c r="A171" s="10" t="inlineStr">
        <is>
          <t>0607C</t>
        </is>
      </c>
      <c r="B171" s="10" t="inlineStr">
        <is>
          <t>Test Cell Building C</t>
        </is>
      </c>
      <c r="C171" s="10" t="inlineStr">
        <is>
          <t>listed_2006_but_no_plan_file</t>
        </is>
      </c>
      <c r="D171" s="10" t="inlineStr">
        <is>
          <t>no</t>
        </is>
      </c>
      <c r="E171" s="10" t="inlineStr">
        <is>
          <t>Test Cell Building C</t>
        </is>
      </c>
      <c r="F171" s="10" t="inlineStr"/>
      <c r="G171" s="10" t="inlineStr">
        <is>
          <t>LOW - not on the 2025 campus map (farm, storage, outlying or demolished)</t>
        </is>
      </c>
      <c r="H171" s="10" t="inlineStr">
        <is>
          <t>VT-owned in 2006; may no longer exist.</t>
        </is>
      </c>
    </row>
    <row r="172">
      <c r="A172" s="10" t="inlineStr">
        <is>
          <t>0607D</t>
        </is>
      </c>
      <c r="B172" s="10" t="inlineStr">
        <is>
          <t>Test Cell Building D</t>
        </is>
      </c>
      <c r="C172" s="10" t="inlineStr">
        <is>
          <t>listed_2006_but_no_plan_file</t>
        </is>
      </c>
      <c r="D172" s="10" t="inlineStr">
        <is>
          <t>no</t>
        </is>
      </c>
      <c r="E172" s="10" t="inlineStr">
        <is>
          <t>Test Cell Building D</t>
        </is>
      </c>
      <c r="F172" s="10" t="inlineStr"/>
      <c r="G172" s="10" t="inlineStr">
        <is>
          <t>LOW - not on the 2025 campus map (farm, storage, outlying or demolished)</t>
        </is>
      </c>
      <c r="H172" s="10" t="inlineStr">
        <is>
          <t>VT-owned in 2006; may no longer exist.</t>
        </is>
      </c>
    </row>
    <row r="173">
      <c r="A173" s="10" t="inlineStr">
        <is>
          <t>0428</t>
        </is>
      </c>
      <c r="B173" s="10" t="inlineStr">
        <is>
          <t>Tobacco Barn</t>
        </is>
      </c>
      <c r="C173" s="10" t="inlineStr">
        <is>
          <t>listed_2006_but_no_plan_file</t>
        </is>
      </c>
      <c r="D173" s="10" t="inlineStr">
        <is>
          <t>no</t>
        </is>
      </c>
      <c r="E173" s="10" t="inlineStr">
        <is>
          <t>Tobacco Barn</t>
        </is>
      </c>
      <c r="F173" s="10" t="inlineStr"/>
      <c r="G173" s="10" t="inlineStr">
        <is>
          <t>LOW - not on the 2025 campus map (farm, storage, outlying or demolished)</t>
        </is>
      </c>
      <c r="H173" s="10" t="inlineStr">
        <is>
          <t>VT-owned in 2006; may no longer exist.</t>
        </is>
      </c>
    </row>
    <row r="174">
      <c r="A174" s="10" t="inlineStr">
        <is>
          <t>0538</t>
        </is>
      </c>
      <c r="B174" s="10" t="inlineStr">
        <is>
          <t>Transgenic Building</t>
        </is>
      </c>
      <c r="C174" s="10" t="inlineStr">
        <is>
          <t>listed_2006_but_no_plan_file</t>
        </is>
      </c>
      <c r="D174" s="10" t="inlineStr">
        <is>
          <t>no</t>
        </is>
      </c>
      <c r="E174" s="10" t="inlineStr">
        <is>
          <t>Transgenic Building</t>
        </is>
      </c>
      <c r="F174" s="10" t="inlineStr"/>
      <c r="G174" s="10" t="inlineStr">
        <is>
          <t>LOW - not on the 2025 campus map (farm, storage, outlying or demolished)</t>
        </is>
      </c>
      <c r="H174" s="10" t="inlineStr">
        <is>
          <t>VT-owned in 2006; may no longer exist.</t>
        </is>
      </c>
    </row>
    <row r="175">
      <c r="A175" s="10" t="inlineStr">
        <is>
          <t>2155</t>
        </is>
      </c>
      <c r="B175" s="10" t="inlineStr">
        <is>
          <t>Triple T Partnership</t>
        </is>
      </c>
      <c r="C175" s="10" t="inlineStr">
        <is>
          <t>listed_2006_but_no_plan_file</t>
        </is>
      </c>
      <c r="D175" s="10" t="inlineStr">
        <is>
          <t>no</t>
        </is>
      </c>
      <c r="E175" s="10" t="inlineStr">
        <is>
          <t>Triple T Partnership</t>
        </is>
      </c>
      <c r="F175" s="10" t="inlineStr"/>
      <c r="G175" s="10" t="inlineStr">
        <is>
          <t>LOW - not on the 2025 campus map (farm, storage, outlying or demolished)</t>
        </is>
      </c>
      <c r="H175" s="10" t="inlineStr">
        <is>
          <t>VT-owned in 2006; may no longer exist.</t>
        </is>
      </c>
    </row>
    <row r="176">
      <c r="A176" s="10" t="inlineStr">
        <is>
          <t>2330</t>
        </is>
      </c>
      <c r="B176" s="10" t="inlineStr">
        <is>
          <t>TuckIt'In Storage</t>
        </is>
      </c>
      <c r="C176" s="10" t="inlineStr">
        <is>
          <t>listed_2006_but_no_plan_file</t>
        </is>
      </c>
      <c r="D176" s="10" t="inlineStr">
        <is>
          <t>no</t>
        </is>
      </c>
      <c r="E176" s="10" t="inlineStr">
        <is>
          <t>TuckIt'In Storage</t>
        </is>
      </c>
      <c r="F176" s="10" t="inlineStr"/>
      <c r="G176" s="10" t="inlineStr">
        <is>
          <t>LOW - not on the 2025 campus map (farm, storage, outlying or demolished)</t>
        </is>
      </c>
      <c r="H176" s="10" t="inlineStr">
        <is>
          <t>VT-owned in 2006; may no longer exist.</t>
        </is>
      </c>
    </row>
    <row r="177">
      <c r="A177" s="10" t="inlineStr">
        <is>
          <t>2331</t>
        </is>
      </c>
      <c r="B177" s="10" t="inlineStr">
        <is>
          <t>TuckIt'In Storage II</t>
        </is>
      </c>
      <c r="C177" s="10" t="inlineStr">
        <is>
          <t>listed_2006_but_no_plan_file</t>
        </is>
      </c>
      <c r="D177" s="10" t="inlineStr">
        <is>
          <t>no</t>
        </is>
      </c>
      <c r="E177" s="10" t="inlineStr">
        <is>
          <t>TuckIt'In Storage II</t>
        </is>
      </c>
      <c r="F177" s="10" t="inlineStr"/>
      <c r="G177" s="10" t="inlineStr">
        <is>
          <t>LOW - not on the 2025 campus map (farm, storage, outlying or demolished)</t>
        </is>
      </c>
      <c r="H177" s="10" t="inlineStr">
        <is>
          <t>VT-owned in 2006; may no longer exist.</t>
        </is>
      </c>
    </row>
    <row r="178">
      <c r="A178" s="10" t="inlineStr">
        <is>
          <t>2265</t>
        </is>
      </c>
      <c r="B178" s="10" t="inlineStr">
        <is>
          <t>Uncle Bob's Storage</t>
        </is>
      </c>
      <c r="C178" s="10" t="inlineStr">
        <is>
          <t>listed_2006_but_no_plan_file</t>
        </is>
      </c>
      <c r="D178" s="10" t="inlineStr">
        <is>
          <t>no</t>
        </is>
      </c>
      <c r="E178" s="10" t="inlineStr">
        <is>
          <t>Uncle Bob's Storage</t>
        </is>
      </c>
      <c r="F178" s="10" t="inlineStr"/>
      <c r="G178" s="10" t="inlineStr">
        <is>
          <t>LOW - not on the 2025 campus map (farm, storage, outlying or demolished)</t>
        </is>
      </c>
      <c r="H178" s="10" t="inlineStr">
        <is>
          <t>VT-owned in 2006; may no longer exist.</t>
        </is>
      </c>
    </row>
    <row r="179">
      <c r="A179" s="10" t="inlineStr">
        <is>
          <t>2256</t>
        </is>
      </c>
      <c r="B179" s="10" t="inlineStr">
        <is>
          <t>Underwood Storage</t>
        </is>
      </c>
      <c r="C179" s="10" t="inlineStr">
        <is>
          <t>listed_2006_but_no_plan_file</t>
        </is>
      </c>
      <c r="D179" s="10" t="inlineStr">
        <is>
          <t>no</t>
        </is>
      </c>
      <c r="E179" s="10" t="inlineStr">
        <is>
          <t>Underwood Storage</t>
        </is>
      </c>
      <c r="F179" s="10" t="inlineStr"/>
      <c r="G179" s="10" t="inlineStr">
        <is>
          <t>LOW - not on the 2025 campus map (farm, storage, outlying or demolished)</t>
        </is>
      </c>
      <c r="H179" s="10" t="inlineStr">
        <is>
          <t>VT-owned in 2006; may no longer exist.</t>
        </is>
      </c>
    </row>
    <row r="180">
      <c r="A180" s="10" t="inlineStr">
        <is>
          <t>0431</t>
        </is>
      </c>
      <c r="B180" s="10" t="inlineStr">
        <is>
          <t>Urban Horticulture Center</t>
        </is>
      </c>
      <c r="C180" s="10" t="inlineStr">
        <is>
          <t>listed_2006_but_no_plan_file</t>
        </is>
      </c>
      <c r="D180" s="10" t="inlineStr">
        <is>
          <t>no</t>
        </is>
      </c>
      <c r="E180" s="10" t="inlineStr">
        <is>
          <t>Urban Horticulture Center</t>
        </is>
      </c>
      <c r="F180" s="10" t="inlineStr"/>
      <c r="G180" s="10" t="inlineStr">
        <is>
          <t>LOW - not on the 2025 campus map (farm, storage, outlying or demolished)</t>
        </is>
      </c>
      <c r="H180" s="10" t="inlineStr">
        <is>
          <t>VT-owned in 2006; may no longer exist.</t>
        </is>
      </c>
    </row>
    <row r="181">
      <c r="A181" s="10" t="inlineStr">
        <is>
          <t>633A</t>
        </is>
      </c>
      <c r="B181" s="10" t="inlineStr">
        <is>
          <t>VTTI Warehouse</t>
        </is>
      </c>
      <c r="C181" s="10" t="inlineStr">
        <is>
          <t>listed_2006_but_no_plan_file</t>
        </is>
      </c>
      <c r="D181" s="10" t="inlineStr">
        <is>
          <t>no</t>
        </is>
      </c>
      <c r="E181" s="10" t="inlineStr">
        <is>
          <t>VTTI Warehouse</t>
        </is>
      </c>
      <c r="F181" s="10" t="inlineStr"/>
      <c r="G181" s="10" t="inlineStr">
        <is>
          <t>LOW - not on the 2025 campus map (farm, storage, outlying or demolished)</t>
        </is>
      </c>
      <c r="H181" s="10" t="inlineStr">
        <is>
          <t>VT-owned in 2006; may no longer exist.</t>
        </is>
      </c>
    </row>
    <row r="182">
      <c r="A182" s="10" t="inlineStr">
        <is>
          <t>0147</t>
        </is>
      </c>
      <c r="B182" s="10" t="inlineStr">
        <is>
          <t>Vet Med Phase 4B</t>
        </is>
      </c>
      <c r="C182" s="10" t="inlineStr">
        <is>
          <t>listed_2006_but_no_plan_file</t>
        </is>
      </c>
      <c r="D182" s="10" t="inlineStr">
        <is>
          <t>no</t>
        </is>
      </c>
      <c r="E182" s="10" t="inlineStr">
        <is>
          <t>Vet Med Phase 4B</t>
        </is>
      </c>
      <c r="F182" s="10" t="inlineStr"/>
      <c r="G182" s="10" t="inlineStr">
        <is>
          <t>LOW - not on the 2025 campus map (farm, storage, outlying or demolished)</t>
        </is>
      </c>
      <c r="H182" s="10" t="inlineStr">
        <is>
          <t>VT-owned in 2006; may no longer exist.</t>
        </is>
      </c>
    </row>
    <row r="183">
      <c r="A183" s="10" t="inlineStr">
        <is>
          <t>0146</t>
        </is>
      </c>
      <c r="B183" s="10" t="inlineStr">
        <is>
          <t>Vet Med Phase 4C</t>
        </is>
      </c>
      <c r="C183" s="10" t="inlineStr">
        <is>
          <t>listed_2006_but_no_plan_file</t>
        </is>
      </c>
      <c r="D183" s="10" t="inlineStr">
        <is>
          <t>no</t>
        </is>
      </c>
      <c r="E183" s="10" t="inlineStr">
        <is>
          <t>Vet Med Phase 4C</t>
        </is>
      </c>
      <c r="F183" s="10" t="inlineStr"/>
      <c r="G183" s="10" t="inlineStr">
        <is>
          <t>LOW - not on the 2025 campus map (farm, storage, outlying or demolished)</t>
        </is>
      </c>
      <c r="H183" s="10" t="inlineStr">
        <is>
          <t>VT-owned in 2006; may no longer exist.</t>
        </is>
      </c>
    </row>
    <row r="184">
      <c r="A184" s="10" t="inlineStr">
        <is>
          <t>0145</t>
        </is>
      </c>
      <c r="B184" s="10" t="inlineStr">
        <is>
          <t>Vet Med Phase 4D</t>
        </is>
      </c>
      <c r="C184" s="10" t="inlineStr">
        <is>
          <t>listed_2006_but_no_plan_file</t>
        </is>
      </c>
      <c r="D184" s="10" t="inlineStr">
        <is>
          <t>no</t>
        </is>
      </c>
      <c r="E184" s="10" t="inlineStr">
        <is>
          <t>Vet Med Phase 4D</t>
        </is>
      </c>
      <c r="F184" s="10" t="inlineStr"/>
      <c r="G184" s="10" t="inlineStr">
        <is>
          <t>LOW - not on the 2025 campus map (farm, storage, outlying or demolished)</t>
        </is>
      </c>
      <c r="H184" s="10" t="inlineStr">
        <is>
          <t>VT-owned in 2006; may no longer exist.</t>
        </is>
      </c>
    </row>
    <row r="185">
      <c r="A185" s="10" t="inlineStr">
        <is>
          <t>0447</t>
        </is>
      </c>
      <c r="B185" s="10" t="inlineStr">
        <is>
          <t>Virus Isolation Building No. 2</t>
        </is>
      </c>
      <c r="C185" s="10" t="inlineStr">
        <is>
          <t>listed_2006_but_no_plan_file</t>
        </is>
      </c>
      <c r="D185" s="10" t="inlineStr">
        <is>
          <t>no</t>
        </is>
      </c>
      <c r="E185" s="10" t="inlineStr">
        <is>
          <t>Virus Isolation Building No. 2</t>
        </is>
      </c>
      <c r="F185" s="10" t="inlineStr"/>
      <c r="G185" s="10" t="inlineStr">
        <is>
          <t>LOW - not on the 2025 campus map (farm, storage, outlying or demolished)</t>
        </is>
      </c>
      <c r="H185" s="10" t="inlineStr">
        <is>
          <t>VT-owned in 2006; may no longer exist.</t>
        </is>
      </c>
    </row>
    <row r="186">
      <c r="A186" s="10" t="inlineStr">
        <is>
          <t>0448</t>
        </is>
      </c>
      <c r="B186" s="10" t="inlineStr">
        <is>
          <t>Virus Isolation Building No. 3</t>
        </is>
      </c>
      <c r="C186" s="10" t="inlineStr">
        <is>
          <t>listed_2006_but_no_plan_file</t>
        </is>
      </c>
      <c r="D186" s="10" t="inlineStr">
        <is>
          <t>no</t>
        </is>
      </c>
      <c r="E186" s="10" t="inlineStr">
        <is>
          <t>Virus Isolation Building No. 3</t>
        </is>
      </c>
      <c r="F186" s="10" t="inlineStr"/>
      <c r="G186" s="10" t="inlineStr">
        <is>
          <t>LOW - not on the 2025 campus map (farm, storage, outlying or demolished)</t>
        </is>
      </c>
      <c r="H186" s="10" t="inlineStr">
        <is>
          <t>VT-owned in 2006; may no longer exist.</t>
        </is>
      </c>
    </row>
    <row r="187">
      <c r="A187" s="10" t="inlineStr">
        <is>
          <t>0449</t>
        </is>
      </c>
      <c r="B187" s="10" t="inlineStr">
        <is>
          <t>Virus Isolation Building No. 4</t>
        </is>
      </c>
      <c r="C187" s="10" t="inlineStr">
        <is>
          <t>listed_2006_but_no_plan_file</t>
        </is>
      </c>
      <c r="D187" s="10" t="inlineStr">
        <is>
          <t>no</t>
        </is>
      </c>
      <c r="E187" s="10" t="inlineStr">
        <is>
          <t>Virus Isolation Building No. 4</t>
        </is>
      </c>
      <c r="F187" s="10" t="inlineStr"/>
      <c r="G187" s="10" t="inlineStr">
        <is>
          <t>LOW - not on the 2025 campus map (farm, storage, outlying or demolished)</t>
        </is>
      </c>
      <c r="H187" s="10" t="inlineStr">
        <is>
          <t>VT-owned in 2006; may no longer exist.</t>
        </is>
      </c>
    </row>
    <row r="188">
      <c r="A188" s="10" t="inlineStr">
        <is>
          <t>2430</t>
        </is>
      </c>
      <c r="B188" s="10" t="inlineStr">
        <is>
          <t>Water Tower</t>
        </is>
      </c>
      <c r="C188" s="10" t="inlineStr">
        <is>
          <t>listed_2006_but_no_plan_file</t>
        </is>
      </c>
      <c r="D188" s="10" t="inlineStr">
        <is>
          <t>no</t>
        </is>
      </c>
      <c r="E188" s="10" t="inlineStr">
        <is>
          <t>Water Tower</t>
        </is>
      </c>
      <c r="F188" s="10" t="inlineStr"/>
      <c r="G188" s="10" t="inlineStr">
        <is>
          <t>LOW - not on the 2025 campus map (farm, storage, outlying or demolished)</t>
        </is>
      </c>
      <c r="H188" s="10" t="inlineStr">
        <is>
          <t>VT-owned in 2006; may no longer exist.</t>
        </is>
      </c>
    </row>
    <row r="189">
      <c r="A189" s="10" t="inlineStr">
        <is>
          <t>0238A</t>
        </is>
      </c>
      <c r="B189" s="10" t="inlineStr">
        <is>
          <t>Wood Utilization &amp; Recycling Building</t>
        </is>
      </c>
      <c r="C189" s="10" t="inlineStr">
        <is>
          <t>listed_2006_but_no_plan_file</t>
        </is>
      </c>
      <c r="D189" s="10" t="inlineStr">
        <is>
          <t>no</t>
        </is>
      </c>
      <c r="E189" s="10" t="inlineStr">
        <is>
          <t>Wood Utilization &amp; Recycling Building</t>
        </is>
      </c>
      <c r="F189" s="10" t="inlineStr"/>
      <c r="G189" s="10" t="inlineStr">
        <is>
          <t>LOW - not on the 2025 campus map (farm, storage, outlying or demolished)</t>
        </is>
      </c>
      <c r="H189" s="10" t="inlineStr">
        <is>
          <t>VT-owned in 2006; may no longer exist.</t>
        </is>
      </c>
    </row>
    <row r="190">
      <c r="A190" s="10" t="inlineStr">
        <is>
          <t>0490</t>
        </is>
      </c>
      <c r="B190" s="10" t="inlineStr">
        <is>
          <t>Young Stock Barn</t>
        </is>
      </c>
      <c r="C190" s="10" t="inlineStr">
        <is>
          <t>listed_2006_but_no_plan_file</t>
        </is>
      </c>
      <c r="D190" s="10" t="inlineStr">
        <is>
          <t>no</t>
        </is>
      </c>
      <c r="E190" s="10" t="inlineStr">
        <is>
          <t>Young Stock Barn</t>
        </is>
      </c>
      <c r="F190" s="10" t="inlineStr"/>
      <c r="G190" s="10" t="inlineStr">
        <is>
          <t>LOW - not on the 2025 campus map (farm, storage, outlying or demolished)</t>
        </is>
      </c>
      <c r="H190" s="10" t="inlineStr">
        <is>
          <t>VT-owned in 2006; may no longer exist.</t>
        </is>
      </c>
    </row>
  </sheetData>
  <autoFilter ref="A1:H19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2026-09-19T07:23:27Z</dcterms:created>
  <dcterms:modified xmlns:dcterms="http://purl.org/dc/terms/" xmlns:xsi="http://www.w3.org/2001/XMLSchema-instance" xsi:type="dcterms:W3CDTF">2026-09-19T07:23:27Z</dcterms:modified>
</cp:coreProperties>
</file>